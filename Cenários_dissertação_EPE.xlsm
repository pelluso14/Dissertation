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pegovbr-my.sharepoint.com/personal/anderson_pelluso_epe_gov_br/Documents/"/>
    </mc:Choice>
  </mc:AlternateContent>
  <xr:revisionPtr revIDLastSave="0" documentId="8_{61E21D84-5FC3-4EAB-8561-AE6285D886A0}" xr6:coauthVersionLast="47" xr6:coauthVersionMax="47" xr10:uidLastSave="{00000000-0000-0000-0000-000000000000}"/>
  <bookViews>
    <workbookView xWindow="-120" yWindow="-120" windowWidth="29040" windowHeight="15840" firstSheet="1" activeTab="2" xr2:uid="{615A2D99-C2AD-40A4-92BF-50112F683A1E}"/>
  </bookViews>
  <sheets>
    <sheet name="Fig_historico_Kaya" sheetId="39" r:id="rId1"/>
    <sheet name="Fig_futuro_Kaya" sheetId="38" r:id="rId2"/>
    <sheet name="Potencial energético" sheetId="42" r:id="rId3"/>
  </sheets>
  <externalReferences>
    <externalReference r:id="rId4"/>
  </externalReferences>
  <definedNames>
    <definedName name="_ftn1" localSheetId="1">Fig_futuro_Kaya!$R$59</definedName>
    <definedName name="_ftnref1" localSheetId="1">Fig_futuro_Kaya!$R$56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9" i="42" l="1"/>
  <c r="AB28" i="42"/>
  <c r="G62" i="38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C14" i="42"/>
  <c r="C13" i="42"/>
  <c r="C12" i="42"/>
  <c r="C11" i="42"/>
  <c r="C10" i="42"/>
  <c r="C9" i="42"/>
  <c r="C8" i="42"/>
  <c r="C7" i="42"/>
  <c r="C6" i="42"/>
  <c r="C5" i="42"/>
  <c r="C4" i="42"/>
  <c r="C39" i="38" l="1"/>
  <c r="H37" i="38"/>
  <c r="H38" i="38"/>
  <c r="G34" i="38"/>
  <c r="G35" i="38"/>
  <c r="F28" i="38"/>
  <c r="F29" i="38" s="1"/>
  <c r="F30" i="38" s="1"/>
  <c r="F31" i="38" s="1"/>
  <c r="F32" i="38" s="1"/>
  <c r="F33" i="38" s="1"/>
  <c r="F34" i="38" s="1"/>
  <c r="F35" i="38" s="1"/>
  <c r="F36" i="38" s="1"/>
  <c r="F37" i="38" s="1"/>
  <c r="F38" i="38" s="1"/>
  <c r="F39" i="38" s="1"/>
  <c r="F40" i="38" s="1"/>
  <c r="F41" i="38" s="1"/>
  <c r="F42" i="38" s="1"/>
  <c r="F43" i="38" s="1"/>
  <c r="F44" i="38" s="1"/>
  <c r="F45" i="38" s="1"/>
  <c r="F46" i="38" s="1"/>
  <c r="F47" i="38" s="1"/>
  <c r="F48" i="38" s="1"/>
  <c r="F49" i="38" s="1"/>
  <c r="F50" i="38" s="1"/>
  <c r="F51" i="38" s="1"/>
  <c r="F52" i="38" s="1"/>
  <c r="F53" i="38" s="1"/>
  <c r="F54" i="38" s="1"/>
  <c r="B95" i="38"/>
  <c r="B96" i="38" s="1"/>
  <c r="B97" i="38" s="1"/>
  <c r="B98" i="38" s="1"/>
  <c r="B99" i="38" s="1"/>
  <c r="B100" i="38" s="1"/>
  <c r="B101" i="38" s="1"/>
  <c r="B102" i="38" s="1"/>
  <c r="B103" i="38" s="1"/>
  <c r="B104" i="38" s="1"/>
  <c r="B105" i="38" s="1"/>
  <c r="B106" i="38" s="1"/>
  <c r="H39" i="38" s="1"/>
  <c r="C29" i="39"/>
  <c r="D28" i="38"/>
  <c r="J4" i="38"/>
  <c r="B4" i="42" s="1"/>
  <c r="D4" i="42" s="1"/>
  <c r="P39" i="39" a="1"/>
  <c r="P39" i="39" s="1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20" i="38"/>
  <c r="W21" i="38"/>
  <c r="W22" i="38"/>
  <c r="W23" i="38"/>
  <c r="W24" i="38"/>
  <c r="W25" i="38"/>
  <c r="W26" i="38"/>
  <c r="W27" i="38"/>
  <c r="W54" i="38" s="1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20" i="38"/>
  <c r="V21" i="38"/>
  <c r="V22" i="38"/>
  <c r="V23" i="38"/>
  <c r="V24" i="38"/>
  <c r="V25" i="38"/>
  <c r="V26" i="38"/>
  <c r="V27" i="38"/>
  <c r="V54" i="38" s="1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20" i="38"/>
  <c r="U21" i="38"/>
  <c r="U22" i="38"/>
  <c r="U23" i="38"/>
  <c r="U24" i="38"/>
  <c r="U25" i="38"/>
  <c r="U26" i="38"/>
  <c r="U27" i="38"/>
  <c r="U28" i="38" s="1"/>
  <c r="U29" i="38" s="1"/>
  <c r="U30" i="38" s="1"/>
  <c r="U31" i="38" s="1"/>
  <c r="U32" i="38" s="1"/>
  <c r="U33" i="38" s="1"/>
  <c r="U34" i="38" s="1"/>
  <c r="U35" i="38" s="1"/>
  <c r="U36" i="38" s="1"/>
  <c r="U37" i="38" s="1"/>
  <c r="U38" i="38" s="1"/>
  <c r="U39" i="38" s="1"/>
  <c r="U40" i="38" s="1"/>
  <c r="U41" i="38" s="1"/>
  <c r="U42" i="38" s="1"/>
  <c r="U43" i="38" s="1"/>
  <c r="U44" i="38" s="1"/>
  <c r="U45" i="38" s="1"/>
  <c r="U46" i="38" s="1"/>
  <c r="U47" i="38" s="1"/>
  <c r="U48" i="38" s="1"/>
  <c r="U49" i="38" s="1"/>
  <c r="U50" i="38" s="1"/>
  <c r="U51" i="38" s="1"/>
  <c r="U52" i="38" s="1"/>
  <c r="U53" i="38" s="1"/>
  <c r="U54" i="38" s="1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20" i="38"/>
  <c r="S21" i="38"/>
  <c r="S22" i="38"/>
  <c r="S23" i="38"/>
  <c r="S24" i="38"/>
  <c r="S25" i="38"/>
  <c r="S26" i="38"/>
  <c r="S27" i="38"/>
  <c r="S54" i="38" s="1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20" i="38"/>
  <c r="R21" i="38"/>
  <c r="R22" i="38"/>
  <c r="R23" i="38"/>
  <c r="R24" i="38"/>
  <c r="R25" i="38"/>
  <c r="R26" i="38"/>
  <c r="R27" i="38"/>
  <c r="R54" i="38" s="1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30" i="39"/>
  <c r="K31" i="39"/>
  <c r="K32" i="39"/>
  <c r="K33" i="39"/>
  <c r="K34" i="39"/>
  <c r="K35" i="39"/>
  <c r="K36" i="39"/>
  <c r="K37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30" i="39"/>
  <c r="L31" i="39"/>
  <c r="L32" i="39"/>
  <c r="L33" i="39"/>
  <c r="L34" i="39"/>
  <c r="L35" i="39"/>
  <c r="L36" i="39"/>
  <c r="L37" i="39"/>
  <c r="L14" i="39"/>
  <c r="Q13" i="38"/>
  <c r="Q15" i="38"/>
  <c r="Q16" i="38"/>
  <c r="Q27" i="38"/>
  <c r="Q28" i="38" s="1"/>
  <c r="O28" i="42" s="1"/>
  <c r="B28" i="38"/>
  <c r="C28" i="38"/>
  <c r="O41" i="38" s="1"/>
  <c r="O27" i="38"/>
  <c r="O26" i="38"/>
  <c r="O25" i="38"/>
  <c r="O24" i="38"/>
  <c r="O23" i="38"/>
  <c r="O22" i="38"/>
  <c r="O21" i="38"/>
  <c r="O20" i="38"/>
  <c r="O19" i="38"/>
  <c r="O18" i="38"/>
  <c r="O17" i="38"/>
  <c r="O16" i="38"/>
  <c r="O15" i="38"/>
  <c r="O14" i="38"/>
  <c r="O13" i="38"/>
  <c r="O12" i="38"/>
  <c r="O11" i="38"/>
  <c r="O10" i="38"/>
  <c r="O9" i="38"/>
  <c r="O8" i="38"/>
  <c r="O7" i="38"/>
  <c r="O6" i="38"/>
  <c r="O5" i="38"/>
  <c r="O4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L27" i="38"/>
  <c r="L26" i="38"/>
  <c r="L25" i="38"/>
  <c r="L24" i="38"/>
  <c r="L23" i="38"/>
  <c r="L22" i="38"/>
  <c r="L21" i="38"/>
  <c r="L20" i="38"/>
  <c r="L19" i="38"/>
  <c r="L18" i="38"/>
  <c r="L17" i="38"/>
  <c r="L16" i="38"/>
  <c r="L15" i="38"/>
  <c r="L14" i="38"/>
  <c r="L13" i="38"/>
  <c r="L12" i="38"/>
  <c r="L11" i="38"/>
  <c r="L10" i="38"/>
  <c r="L9" i="38"/>
  <c r="L8" i="38"/>
  <c r="L7" i="38"/>
  <c r="L6" i="38"/>
  <c r="L5" i="38"/>
  <c r="L4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Q5" i="38"/>
  <c r="Q6" i="38"/>
  <c r="Q7" i="38"/>
  <c r="Q8" i="38"/>
  <c r="Q9" i="38"/>
  <c r="Q10" i="38"/>
  <c r="Q11" i="38"/>
  <c r="Q12" i="38"/>
  <c r="Q14" i="38"/>
  <c r="Q17" i="38"/>
  <c r="Q18" i="38"/>
  <c r="Q20" i="38"/>
  <c r="Q21" i="38"/>
  <c r="Q22" i="38"/>
  <c r="Q23" i="38"/>
  <c r="Q24" i="38"/>
  <c r="Q25" i="38"/>
  <c r="Q26" i="38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P31" i="39"/>
  <c r="P32" i="39"/>
  <c r="P33" i="39"/>
  <c r="P34" i="39"/>
  <c r="P35" i="39"/>
  <c r="P36" i="39"/>
  <c r="P37" i="39"/>
  <c r="P5" i="39"/>
  <c r="G33" i="38" l="1"/>
  <c r="H36" i="38"/>
  <c r="C38" i="38"/>
  <c r="D34" i="38"/>
  <c r="L34" i="38" s="1"/>
  <c r="D35" i="38"/>
  <c r="D31" i="38"/>
  <c r="L31" i="38" s="1"/>
  <c r="D32" i="38"/>
  <c r="L32" i="38" s="1"/>
  <c r="D36" i="38"/>
  <c r="D37" i="38"/>
  <c r="L37" i="38" s="1"/>
  <c r="D38" i="38"/>
  <c r="L38" i="38" s="1"/>
  <c r="D39" i="38"/>
  <c r="L39" i="38" s="1"/>
  <c r="D33" i="38"/>
  <c r="L33" i="38" s="1"/>
  <c r="D30" i="38"/>
  <c r="G32" i="38"/>
  <c r="H35" i="38"/>
  <c r="C37" i="38"/>
  <c r="G28" i="38"/>
  <c r="N28" i="38" s="1"/>
  <c r="G31" i="38"/>
  <c r="H34" i="38"/>
  <c r="C36" i="38"/>
  <c r="G30" i="38"/>
  <c r="H33" i="38"/>
  <c r="C35" i="38"/>
  <c r="G29" i="38"/>
  <c r="H32" i="38"/>
  <c r="C34" i="38"/>
  <c r="H28" i="38"/>
  <c r="L28" i="38" s="1"/>
  <c r="H31" i="38"/>
  <c r="C33" i="38"/>
  <c r="G39" i="38"/>
  <c r="H30" i="38"/>
  <c r="C32" i="38"/>
  <c r="S54" i="42"/>
  <c r="AE54" i="42"/>
  <c r="G38" i="38"/>
  <c r="H29" i="38"/>
  <c r="C31" i="38"/>
  <c r="G37" i="38"/>
  <c r="C30" i="38"/>
  <c r="G36" i="38"/>
  <c r="C29" i="38"/>
  <c r="R28" i="38"/>
  <c r="S28" i="42" s="1"/>
  <c r="R29" i="38"/>
  <c r="R30" i="38"/>
  <c r="G54" i="42"/>
  <c r="W28" i="38"/>
  <c r="W29" i="38" s="1"/>
  <c r="W30" i="38" s="1"/>
  <c r="W31" i="38" s="1"/>
  <c r="W32" i="38" s="1"/>
  <c r="W33" i="38" s="1"/>
  <c r="W34" i="38" s="1"/>
  <c r="W35" i="38" s="1"/>
  <c r="W36" i="38" s="1"/>
  <c r="W37" i="38" s="1"/>
  <c r="W38" i="38" s="1"/>
  <c r="W39" i="38" s="1"/>
  <c r="W40" i="38" s="1"/>
  <c r="W41" i="38" s="1"/>
  <c r="W42" i="38" s="1"/>
  <c r="W43" i="38" s="1"/>
  <c r="W44" i="38" s="1"/>
  <c r="W45" i="38" s="1"/>
  <c r="W46" i="38" s="1"/>
  <c r="W47" i="38" s="1"/>
  <c r="W48" i="38" s="1"/>
  <c r="W49" i="38" s="1"/>
  <c r="W50" i="38" s="1"/>
  <c r="W51" i="38" s="1"/>
  <c r="W52" i="38" s="1"/>
  <c r="W53" i="38" s="1"/>
  <c r="Q29" i="38"/>
  <c r="O29" i="42" s="1"/>
  <c r="AA28" i="42"/>
  <c r="AI54" i="42"/>
  <c r="S28" i="38"/>
  <c r="W54" i="42"/>
  <c r="K54" i="42"/>
  <c r="B107" i="38"/>
  <c r="D40" i="38" s="1"/>
  <c r="D29" i="38"/>
  <c r="C100" i="38"/>
  <c r="D100" i="38" s="1"/>
  <c r="C99" i="38"/>
  <c r="D99" i="38" s="1"/>
  <c r="C101" i="38"/>
  <c r="D101" i="38" s="1"/>
  <c r="C94" i="38"/>
  <c r="D94" i="38" s="1"/>
  <c r="C98" i="38"/>
  <c r="D98" i="38" s="1"/>
  <c r="C105" i="38"/>
  <c r="D105" i="38" s="1"/>
  <c r="C97" i="38"/>
  <c r="D97" i="38" s="1"/>
  <c r="C104" i="38"/>
  <c r="D104" i="38" s="1"/>
  <c r="C96" i="38"/>
  <c r="D96" i="38" s="1"/>
  <c r="C103" i="38"/>
  <c r="D103" i="38" s="1"/>
  <c r="C95" i="38"/>
  <c r="D95" i="38" s="1"/>
  <c r="C102" i="38"/>
  <c r="D102" i="38" s="1"/>
  <c r="C28" i="42"/>
  <c r="N29" i="38"/>
  <c r="B29" i="38"/>
  <c r="B30" i="38" s="1"/>
  <c r="B31" i="38" s="1"/>
  <c r="B32" i="38" s="1"/>
  <c r="B33" i="38" s="1"/>
  <c r="B34" i="38" s="1"/>
  <c r="B35" i="38" s="1"/>
  <c r="O59" i="38"/>
  <c r="N59" i="38"/>
  <c r="M59" i="38"/>
  <c r="O58" i="38"/>
  <c r="N58" i="38"/>
  <c r="M58" i="38"/>
  <c r="L58" i="38"/>
  <c r="K58" i="38"/>
  <c r="J58" i="38"/>
  <c r="J31" i="39"/>
  <c r="J23" i="39"/>
  <c r="J15" i="39"/>
  <c r="K100" i="39"/>
  <c r="I100" i="39"/>
  <c r="H100" i="39"/>
  <c r="L100" i="39" s="1"/>
  <c r="K99" i="39"/>
  <c r="J99" i="39"/>
  <c r="I99" i="39"/>
  <c r="H99" i="39"/>
  <c r="L99" i="39" s="1"/>
  <c r="K98" i="39"/>
  <c r="J98" i="39"/>
  <c r="I98" i="39"/>
  <c r="H98" i="39"/>
  <c r="L98" i="39" s="1"/>
  <c r="K97" i="39"/>
  <c r="J97" i="39"/>
  <c r="I97" i="39"/>
  <c r="H97" i="39"/>
  <c r="L97" i="39" s="1"/>
  <c r="K96" i="39"/>
  <c r="J96" i="39"/>
  <c r="I96" i="39"/>
  <c r="H96" i="39"/>
  <c r="K95" i="39"/>
  <c r="J95" i="39"/>
  <c r="I95" i="39"/>
  <c r="H95" i="39"/>
  <c r="L95" i="39" s="1"/>
  <c r="K94" i="39"/>
  <c r="J94" i="39"/>
  <c r="I94" i="39"/>
  <c r="H94" i="39"/>
  <c r="L94" i="39" s="1"/>
  <c r="K93" i="39"/>
  <c r="J93" i="39"/>
  <c r="I93" i="39"/>
  <c r="H93" i="39"/>
  <c r="L93" i="39" s="1"/>
  <c r="K92" i="39"/>
  <c r="J92" i="39"/>
  <c r="I92" i="39"/>
  <c r="H92" i="39"/>
  <c r="L92" i="39" s="1"/>
  <c r="K91" i="39"/>
  <c r="J91" i="39"/>
  <c r="I91" i="39"/>
  <c r="H91" i="39"/>
  <c r="L91" i="39" s="1"/>
  <c r="K90" i="39"/>
  <c r="J90" i="39"/>
  <c r="I90" i="39"/>
  <c r="H90" i="39"/>
  <c r="L90" i="39" s="1"/>
  <c r="K89" i="39"/>
  <c r="J89" i="39"/>
  <c r="I89" i="39"/>
  <c r="H89" i="39"/>
  <c r="L89" i="39" s="1"/>
  <c r="K88" i="39"/>
  <c r="J88" i="39"/>
  <c r="I88" i="39"/>
  <c r="H88" i="39"/>
  <c r="L88" i="39" s="1"/>
  <c r="K87" i="39"/>
  <c r="J87" i="39"/>
  <c r="I87" i="39"/>
  <c r="H87" i="39"/>
  <c r="L87" i="39" s="1"/>
  <c r="K86" i="39"/>
  <c r="J86" i="39"/>
  <c r="I86" i="39"/>
  <c r="H86" i="39"/>
  <c r="L86" i="39" s="1"/>
  <c r="K85" i="39"/>
  <c r="J85" i="39"/>
  <c r="I85" i="39"/>
  <c r="H85" i="39"/>
  <c r="L85" i="39" s="1"/>
  <c r="K84" i="39"/>
  <c r="J84" i="39"/>
  <c r="I84" i="39"/>
  <c r="H84" i="39"/>
  <c r="L84" i="39" s="1"/>
  <c r="K83" i="39"/>
  <c r="J83" i="39"/>
  <c r="I83" i="39"/>
  <c r="H83" i="39"/>
  <c r="L83" i="39" s="1"/>
  <c r="K82" i="39"/>
  <c r="J82" i="39"/>
  <c r="I82" i="39"/>
  <c r="H82" i="39"/>
  <c r="L82" i="39" s="1"/>
  <c r="K81" i="39"/>
  <c r="J81" i="39"/>
  <c r="I81" i="39"/>
  <c r="H81" i="39"/>
  <c r="L81" i="39" s="1"/>
  <c r="K80" i="39"/>
  <c r="J80" i="39"/>
  <c r="I80" i="39"/>
  <c r="H80" i="39"/>
  <c r="L80" i="39" s="1"/>
  <c r="K79" i="39"/>
  <c r="J79" i="39"/>
  <c r="I79" i="39"/>
  <c r="H79" i="39"/>
  <c r="L79" i="39" s="1"/>
  <c r="K78" i="39"/>
  <c r="J78" i="39"/>
  <c r="I78" i="39"/>
  <c r="H78" i="39"/>
  <c r="L78" i="39" s="1"/>
  <c r="K77" i="39"/>
  <c r="J77" i="39"/>
  <c r="I77" i="39"/>
  <c r="H77" i="39"/>
  <c r="L77" i="39" s="1"/>
  <c r="J14" i="39"/>
  <c r="Q4" i="38" s="1"/>
  <c r="J16" i="39"/>
  <c r="J17" i="39"/>
  <c r="J18" i="39"/>
  <c r="J19" i="39"/>
  <c r="J20" i="39"/>
  <c r="J21" i="39"/>
  <c r="J22" i="39"/>
  <c r="J24" i="39"/>
  <c r="J25" i="39"/>
  <c r="J26" i="39"/>
  <c r="J27" i="39"/>
  <c r="J28" i="39"/>
  <c r="J29" i="39"/>
  <c r="J30" i="39"/>
  <c r="J32" i="39"/>
  <c r="J33" i="39"/>
  <c r="J34" i="39"/>
  <c r="J35" i="39"/>
  <c r="J36" i="39"/>
  <c r="J37" i="39"/>
  <c r="F15" i="39"/>
  <c r="H15" i="39" s="1"/>
  <c r="F16" i="39"/>
  <c r="H16" i="39" s="1"/>
  <c r="F17" i="39"/>
  <c r="H17" i="39" s="1"/>
  <c r="F18" i="39"/>
  <c r="H18" i="39" s="1"/>
  <c r="F19" i="39"/>
  <c r="H19" i="39" s="1"/>
  <c r="F20" i="39"/>
  <c r="H20" i="39" s="1"/>
  <c r="F21" i="39"/>
  <c r="H21" i="39" s="1"/>
  <c r="F22" i="39"/>
  <c r="H22" i="39" s="1"/>
  <c r="F23" i="39"/>
  <c r="H23" i="39" s="1"/>
  <c r="F24" i="39"/>
  <c r="H24" i="39" s="1"/>
  <c r="F25" i="39"/>
  <c r="H25" i="39" s="1"/>
  <c r="F26" i="39"/>
  <c r="H26" i="39" s="1"/>
  <c r="F27" i="39"/>
  <c r="H27" i="39" s="1"/>
  <c r="F28" i="39"/>
  <c r="H28" i="39" s="1"/>
  <c r="F29" i="39"/>
  <c r="H29" i="39" s="1"/>
  <c r="L29" i="39" s="1"/>
  <c r="F30" i="39"/>
  <c r="H30" i="39" s="1"/>
  <c r="F31" i="39"/>
  <c r="H31" i="39" s="1"/>
  <c r="F32" i="39"/>
  <c r="H32" i="39" s="1"/>
  <c r="F33" i="39"/>
  <c r="H33" i="39" s="1"/>
  <c r="F34" i="39"/>
  <c r="H34" i="39" s="1"/>
  <c r="F35" i="39"/>
  <c r="H35" i="39" s="1"/>
  <c r="F36" i="39"/>
  <c r="H36" i="39" s="1"/>
  <c r="F37" i="39"/>
  <c r="H37" i="39" s="1"/>
  <c r="F14" i="39"/>
  <c r="H14" i="39" s="1"/>
  <c r="M4" i="38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50" i="39"/>
  <c r="D15" i="39"/>
  <c r="G15" i="39" s="1"/>
  <c r="D16" i="39"/>
  <c r="G16" i="39" s="1"/>
  <c r="D17" i="39"/>
  <c r="G17" i="39" s="1"/>
  <c r="D18" i="39"/>
  <c r="G18" i="39" s="1"/>
  <c r="D19" i="39"/>
  <c r="G19" i="39" s="1"/>
  <c r="D20" i="39"/>
  <c r="G20" i="39" s="1"/>
  <c r="D21" i="39"/>
  <c r="G21" i="39" s="1"/>
  <c r="D22" i="39"/>
  <c r="G22" i="39" s="1"/>
  <c r="D23" i="39"/>
  <c r="G23" i="39" s="1"/>
  <c r="D24" i="39"/>
  <c r="G24" i="39" s="1"/>
  <c r="D25" i="39"/>
  <c r="G25" i="39" s="1"/>
  <c r="D26" i="39"/>
  <c r="G26" i="39" s="1"/>
  <c r="D27" i="39"/>
  <c r="G27" i="39" s="1"/>
  <c r="D28" i="39"/>
  <c r="G28" i="39" s="1"/>
  <c r="D29" i="39"/>
  <c r="G29" i="39" s="1"/>
  <c r="K29" i="39" s="1"/>
  <c r="D30" i="39"/>
  <c r="G30" i="39" s="1"/>
  <c r="D31" i="39"/>
  <c r="G31" i="39" s="1"/>
  <c r="D32" i="39"/>
  <c r="G32" i="39" s="1"/>
  <c r="D33" i="39"/>
  <c r="G33" i="39" s="1"/>
  <c r="D34" i="39"/>
  <c r="G34" i="39" s="1"/>
  <c r="D35" i="39"/>
  <c r="G35" i="39" s="1"/>
  <c r="D36" i="39"/>
  <c r="G36" i="39" s="1"/>
  <c r="D37" i="39"/>
  <c r="G37" i="39" s="1"/>
  <c r="D14" i="39"/>
  <c r="G14" i="39" s="1"/>
  <c r="L96" i="39" l="1"/>
  <c r="AD28" i="42"/>
  <c r="Z28" i="42"/>
  <c r="AH28" i="42"/>
  <c r="AD33" i="42"/>
  <c r="AH33" i="42"/>
  <c r="Z33" i="42"/>
  <c r="L35" i="38"/>
  <c r="AD31" i="42"/>
  <c r="Z31" i="42"/>
  <c r="AH31" i="42"/>
  <c r="Z39" i="42"/>
  <c r="AD39" i="42"/>
  <c r="AH39" i="42"/>
  <c r="B108" i="38"/>
  <c r="H40" i="38"/>
  <c r="L40" i="38" s="1"/>
  <c r="C40" i="38"/>
  <c r="G40" i="38"/>
  <c r="S29" i="42"/>
  <c r="AE29" i="42"/>
  <c r="Z38" i="42"/>
  <c r="AD38" i="42"/>
  <c r="AH38" i="42"/>
  <c r="AD34" i="42"/>
  <c r="AH34" i="42"/>
  <c r="Z34" i="42"/>
  <c r="K28" i="38"/>
  <c r="L30" i="38"/>
  <c r="Z37" i="42"/>
  <c r="AD37" i="42"/>
  <c r="AH37" i="42"/>
  <c r="AH32" i="42"/>
  <c r="Z32" i="42"/>
  <c r="AD32" i="42"/>
  <c r="S30" i="42"/>
  <c r="AE30" i="42"/>
  <c r="L29" i="38"/>
  <c r="L36" i="38"/>
  <c r="AA29" i="42"/>
  <c r="Q30" i="38"/>
  <c r="O30" i="42" s="1"/>
  <c r="R31" i="38"/>
  <c r="G30" i="42"/>
  <c r="S29" i="38"/>
  <c r="W28" i="42"/>
  <c r="K28" i="42"/>
  <c r="AI28" i="42"/>
  <c r="AJ28" i="42" s="1"/>
  <c r="G29" i="42"/>
  <c r="G28" i="42"/>
  <c r="AE28" i="42"/>
  <c r="AF28" i="42" s="1"/>
  <c r="C106" i="38"/>
  <c r="D106" i="38" s="1"/>
  <c r="K29" i="38"/>
  <c r="Q19" i="38"/>
  <c r="S19" i="38"/>
  <c r="R19" i="38"/>
  <c r="V19" i="38"/>
  <c r="W19" i="38"/>
  <c r="U19" i="38"/>
  <c r="C29" i="42"/>
  <c r="O28" i="38"/>
  <c r="K30" i="38"/>
  <c r="B36" i="38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B51" i="38" s="1"/>
  <c r="B52" i="38" s="1"/>
  <c r="B53" i="38" s="1"/>
  <c r="B54" i="38" s="1"/>
  <c r="M54" i="38" s="1"/>
  <c r="J35" i="38"/>
  <c r="B35" i="42" s="1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J5" i="38"/>
  <c r="B5" i="42" s="1"/>
  <c r="D5" i="42" s="1"/>
  <c r="J6" i="38"/>
  <c r="B6" i="42" s="1"/>
  <c r="D6" i="42" s="1"/>
  <c r="J7" i="38"/>
  <c r="B7" i="42" s="1"/>
  <c r="D7" i="42" s="1"/>
  <c r="J8" i="38"/>
  <c r="B8" i="42" s="1"/>
  <c r="D8" i="42" s="1"/>
  <c r="J9" i="38"/>
  <c r="B9" i="42" s="1"/>
  <c r="D9" i="42" s="1"/>
  <c r="J10" i="38"/>
  <c r="B10" i="42" s="1"/>
  <c r="D10" i="42" s="1"/>
  <c r="J11" i="38"/>
  <c r="B11" i="42" s="1"/>
  <c r="D11" i="42" s="1"/>
  <c r="J12" i="38"/>
  <c r="B12" i="42" s="1"/>
  <c r="D12" i="42" s="1"/>
  <c r="J13" i="38"/>
  <c r="B13" i="42" s="1"/>
  <c r="D13" i="42" s="1"/>
  <c r="J14" i="38"/>
  <c r="B14" i="42" s="1"/>
  <c r="D14" i="42" s="1"/>
  <c r="J15" i="38"/>
  <c r="B15" i="42" s="1"/>
  <c r="D15" i="42" s="1"/>
  <c r="J16" i="38"/>
  <c r="B16" i="42" s="1"/>
  <c r="D16" i="42" s="1"/>
  <c r="J17" i="38"/>
  <c r="B17" i="42" s="1"/>
  <c r="D17" i="42" s="1"/>
  <c r="J18" i="38"/>
  <c r="B18" i="42" s="1"/>
  <c r="D18" i="42" s="1"/>
  <c r="J19" i="38"/>
  <c r="B19" i="42" s="1"/>
  <c r="D19" i="42" s="1"/>
  <c r="J20" i="38"/>
  <c r="B20" i="42" s="1"/>
  <c r="D20" i="42" s="1"/>
  <c r="J21" i="38"/>
  <c r="B21" i="42" s="1"/>
  <c r="D21" i="42" s="1"/>
  <c r="J22" i="38"/>
  <c r="B22" i="42" s="1"/>
  <c r="D22" i="42" s="1"/>
  <c r="J23" i="38"/>
  <c r="B23" i="42" s="1"/>
  <c r="D23" i="42" s="1"/>
  <c r="J24" i="38"/>
  <c r="B24" i="42" s="1"/>
  <c r="D24" i="42" s="1"/>
  <c r="J25" i="38"/>
  <c r="B25" i="42" s="1"/>
  <c r="D25" i="42" s="1"/>
  <c r="J26" i="38"/>
  <c r="B26" i="42" s="1"/>
  <c r="D26" i="42" s="1"/>
  <c r="J27" i="38"/>
  <c r="B27" i="42" s="1"/>
  <c r="D27" i="42" s="1"/>
  <c r="J28" i="38"/>
  <c r="B28" i="42" s="1"/>
  <c r="J29" i="38"/>
  <c r="B29" i="42" s="1"/>
  <c r="J30" i="38"/>
  <c r="B30" i="42" s="1"/>
  <c r="J31" i="38"/>
  <c r="B31" i="42" s="1"/>
  <c r="J32" i="38"/>
  <c r="B32" i="42" s="1"/>
  <c r="J33" i="38"/>
  <c r="B33" i="42" s="1"/>
  <c r="J34" i="38"/>
  <c r="B34" i="42" s="1"/>
  <c r="J36" i="38"/>
  <c r="B36" i="42" s="1"/>
  <c r="Z40" i="42" l="1"/>
  <c r="AD40" i="42"/>
  <c r="AH40" i="42"/>
  <c r="R29" i="42"/>
  <c r="T29" i="42" s="1"/>
  <c r="N29" i="42"/>
  <c r="P29" i="42" s="1"/>
  <c r="V29" i="42"/>
  <c r="AD35" i="42"/>
  <c r="AH35" i="42"/>
  <c r="Z35" i="42"/>
  <c r="S31" i="42"/>
  <c r="AE31" i="42"/>
  <c r="AF31" i="42" s="1"/>
  <c r="R30" i="42"/>
  <c r="T30" i="42" s="1"/>
  <c r="N30" i="42"/>
  <c r="P30" i="42" s="1"/>
  <c r="V30" i="42"/>
  <c r="AH30" i="42"/>
  <c r="Z30" i="42"/>
  <c r="AD30" i="42"/>
  <c r="AF30" i="42" s="1"/>
  <c r="Z36" i="42"/>
  <c r="AD36" i="42"/>
  <c r="AH36" i="42"/>
  <c r="R28" i="42"/>
  <c r="T28" i="42" s="1"/>
  <c r="V28" i="42"/>
  <c r="X28" i="42" s="1"/>
  <c r="N28" i="42"/>
  <c r="P28" i="42" s="1"/>
  <c r="Z29" i="42"/>
  <c r="AH29" i="42"/>
  <c r="AD29" i="42"/>
  <c r="AF29" i="42" s="1"/>
  <c r="B109" i="38"/>
  <c r="H41" i="38"/>
  <c r="G41" i="38"/>
  <c r="D41" i="38"/>
  <c r="L41" i="38" s="1"/>
  <c r="C41" i="38"/>
  <c r="C107" i="38"/>
  <c r="D107" i="38" s="1"/>
  <c r="F36" i="42"/>
  <c r="J36" i="42"/>
  <c r="AI29" i="42"/>
  <c r="AJ29" i="42" s="1"/>
  <c r="W29" i="42"/>
  <c r="K29" i="42"/>
  <c r="S30" i="38"/>
  <c r="J31" i="42"/>
  <c r="F31" i="42"/>
  <c r="J33" i="42"/>
  <c r="F33" i="42"/>
  <c r="J30" i="42"/>
  <c r="F30" i="42"/>
  <c r="H30" i="42" s="1"/>
  <c r="J35" i="42"/>
  <c r="F35" i="42"/>
  <c r="R32" i="38"/>
  <c r="G31" i="42"/>
  <c r="J32" i="42"/>
  <c r="F32" i="42"/>
  <c r="D29" i="42"/>
  <c r="F29" i="42"/>
  <c r="H29" i="42" s="1"/>
  <c r="J29" i="42"/>
  <c r="D28" i="42"/>
  <c r="J28" i="42"/>
  <c r="L28" i="42" s="1"/>
  <c r="F28" i="42"/>
  <c r="H28" i="42" s="1"/>
  <c r="F34" i="42"/>
  <c r="J34" i="42"/>
  <c r="M40" i="38"/>
  <c r="M39" i="38"/>
  <c r="Q31" i="38"/>
  <c r="O31" i="42" s="1"/>
  <c r="AA30" i="42"/>
  <c r="AB30" i="42" s="1"/>
  <c r="M38" i="38"/>
  <c r="J39" i="38"/>
  <c r="B39" i="42" s="1"/>
  <c r="M36" i="38"/>
  <c r="J37" i="38"/>
  <c r="B37" i="42" s="1"/>
  <c r="O29" i="38"/>
  <c r="C30" i="42"/>
  <c r="J38" i="38"/>
  <c r="B38" i="42" s="1"/>
  <c r="M37" i="38"/>
  <c r="N30" i="38"/>
  <c r="N31" i="38"/>
  <c r="J46" i="38"/>
  <c r="B46" i="42" s="1"/>
  <c r="M52" i="38"/>
  <c r="M48" i="38"/>
  <c r="M51" i="38"/>
  <c r="J47" i="38"/>
  <c r="B47" i="42" s="1"/>
  <c r="M47" i="38"/>
  <c r="J43" i="38"/>
  <c r="B43" i="42" s="1"/>
  <c r="J51" i="38"/>
  <c r="B51" i="42" s="1"/>
  <c r="J50" i="38"/>
  <c r="B50" i="42" s="1"/>
  <c r="J49" i="38"/>
  <c r="B49" i="42" s="1"/>
  <c r="J45" i="38"/>
  <c r="B45" i="42" s="1"/>
  <c r="M45" i="38"/>
  <c r="M44" i="38"/>
  <c r="J54" i="38"/>
  <c r="B54" i="42" s="1"/>
  <c r="J42" i="38"/>
  <c r="B42" i="42" s="1"/>
  <c r="M43" i="38"/>
  <c r="M50" i="38"/>
  <c r="J48" i="38"/>
  <c r="B48" i="42" s="1"/>
  <c r="M49" i="38"/>
  <c r="M46" i="38"/>
  <c r="J44" i="38"/>
  <c r="B44" i="42" s="1"/>
  <c r="J53" i="38"/>
  <c r="B53" i="42" s="1"/>
  <c r="J41" i="38"/>
  <c r="B41" i="42" s="1"/>
  <c r="M42" i="38"/>
  <c r="J52" i="38"/>
  <c r="B52" i="42" s="1"/>
  <c r="J40" i="38"/>
  <c r="B40" i="42" s="1"/>
  <c r="M53" i="38"/>
  <c r="M41" i="38"/>
  <c r="S32" i="42" l="1"/>
  <c r="AE32" i="42"/>
  <c r="AH41" i="42"/>
  <c r="Z41" i="42"/>
  <c r="AD41" i="42"/>
  <c r="B110" i="38"/>
  <c r="H42" i="38"/>
  <c r="G42" i="38"/>
  <c r="C108" i="38"/>
  <c r="D108" i="38" s="1"/>
  <c r="C42" i="38"/>
  <c r="D42" i="38"/>
  <c r="L42" i="38" s="1"/>
  <c r="X29" i="42"/>
  <c r="H31" i="42"/>
  <c r="D30" i="42"/>
  <c r="R33" i="38"/>
  <c r="G32" i="42"/>
  <c r="H32" i="42" s="1"/>
  <c r="AF32" i="42"/>
  <c r="F46" i="42"/>
  <c r="J46" i="42"/>
  <c r="J39" i="42"/>
  <c r="F39" i="42"/>
  <c r="J52" i="42"/>
  <c r="F52" i="42"/>
  <c r="W30" i="42"/>
  <c r="X30" i="42" s="1"/>
  <c r="AI30" i="42"/>
  <c r="AJ30" i="42" s="1"/>
  <c r="K30" i="42"/>
  <c r="L30" i="42" s="1"/>
  <c r="S31" i="38"/>
  <c r="F54" i="42"/>
  <c r="H54" i="42" s="1"/>
  <c r="J54" i="42"/>
  <c r="L54" i="42" s="1"/>
  <c r="J45" i="42"/>
  <c r="F45" i="42"/>
  <c r="F53" i="42"/>
  <c r="J53" i="42"/>
  <c r="J49" i="42"/>
  <c r="F49" i="42"/>
  <c r="Q32" i="38"/>
  <c r="O32" i="42" s="1"/>
  <c r="AA31" i="42"/>
  <c r="AB31" i="42" s="1"/>
  <c r="L29" i="42"/>
  <c r="F42" i="42"/>
  <c r="J42" i="42"/>
  <c r="J40" i="42"/>
  <c r="F40" i="42"/>
  <c r="J44" i="42"/>
  <c r="F44" i="42"/>
  <c r="J43" i="42"/>
  <c r="F43" i="42"/>
  <c r="F41" i="42"/>
  <c r="J41" i="42"/>
  <c r="F48" i="42"/>
  <c r="J48" i="42"/>
  <c r="J50" i="42"/>
  <c r="F50" i="42"/>
  <c r="J38" i="42"/>
  <c r="F38" i="42"/>
  <c r="J51" i="42"/>
  <c r="F51" i="42"/>
  <c r="F47" i="42"/>
  <c r="J47" i="42"/>
  <c r="J37" i="42"/>
  <c r="F37" i="42"/>
  <c r="O30" i="38"/>
  <c r="C31" i="42"/>
  <c r="D31" i="42" s="1"/>
  <c r="K31" i="38"/>
  <c r="K32" i="38"/>
  <c r="N32" i="38"/>
  <c r="V32" i="42" l="1"/>
  <c r="R32" i="42"/>
  <c r="T32" i="42" s="1"/>
  <c r="N32" i="42"/>
  <c r="P32" i="42" s="1"/>
  <c r="B111" i="38"/>
  <c r="H43" i="38"/>
  <c r="G43" i="38"/>
  <c r="C43" i="38"/>
  <c r="C109" i="38"/>
  <c r="D109" i="38" s="1"/>
  <c r="D43" i="38"/>
  <c r="L43" i="38" s="1"/>
  <c r="Z42" i="42"/>
  <c r="AH42" i="42"/>
  <c r="AD42" i="42"/>
  <c r="AE33" i="42"/>
  <c r="S33" i="42"/>
  <c r="R31" i="42"/>
  <c r="T31" i="42" s="1"/>
  <c r="V31" i="42"/>
  <c r="N31" i="42"/>
  <c r="P31" i="42" s="1"/>
  <c r="AI31" i="42"/>
  <c r="AJ31" i="42" s="1"/>
  <c r="W31" i="42"/>
  <c r="X31" i="42" s="1"/>
  <c r="K31" i="42"/>
  <c r="L31" i="42" s="1"/>
  <c r="S32" i="38"/>
  <c r="Q33" i="38"/>
  <c r="O33" i="42" s="1"/>
  <c r="AA32" i="42"/>
  <c r="AB32" i="42" s="1"/>
  <c r="R34" i="38"/>
  <c r="AF33" i="42"/>
  <c r="G33" i="42"/>
  <c r="H33" i="42" s="1"/>
  <c r="C32" i="42"/>
  <c r="D32" i="42" s="1"/>
  <c r="O31" i="38"/>
  <c r="N33" i="38"/>
  <c r="K33" i="38"/>
  <c r="S34" i="42" l="1"/>
  <c r="AE34" i="42"/>
  <c r="V33" i="42"/>
  <c r="R33" i="42"/>
  <c r="T33" i="42" s="1"/>
  <c r="N33" i="42"/>
  <c r="P33" i="42" s="1"/>
  <c r="B112" i="38"/>
  <c r="H44" i="38"/>
  <c r="G44" i="38"/>
  <c r="C44" i="38"/>
  <c r="C110" i="38"/>
  <c r="D110" i="38" s="1"/>
  <c r="D44" i="38"/>
  <c r="L44" i="38" s="1"/>
  <c r="AH43" i="42"/>
  <c r="Z43" i="42"/>
  <c r="AD43" i="42"/>
  <c r="W32" i="42"/>
  <c r="X32" i="42" s="1"/>
  <c r="K32" i="42"/>
  <c r="L32" i="42" s="1"/>
  <c r="AI32" i="42"/>
  <c r="AJ32" i="42" s="1"/>
  <c r="S33" i="38"/>
  <c r="R35" i="38"/>
  <c r="AF34" i="42"/>
  <c r="G34" i="42"/>
  <c r="H34" i="42" s="1"/>
  <c r="Q34" i="38"/>
  <c r="O34" i="42" s="1"/>
  <c r="AA33" i="42"/>
  <c r="AB33" i="42" s="1"/>
  <c r="C33" i="42"/>
  <c r="D33" i="42" s="1"/>
  <c r="O32" i="38"/>
  <c r="N34" i="38"/>
  <c r="K34" i="38"/>
  <c r="AH44" i="42" l="1"/>
  <c r="AD44" i="42"/>
  <c r="Z44" i="42"/>
  <c r="B113" i="38"/>
  <c r="H45" i="38"/>
  <c r="G45" i="38"/>
  <c r="C45" i="38"/>
  <c r="D45" i="38"/>
  <c r="L45" i="38" s="1"/>
  <c r="C111" i="38"/>
  <c r="D111" i="38" s="1"/>
  <c r="V34" i="42"/>
  <c r="R34" i="42"/>
  <c r="T34" i="42" s="1"/>
  <c r="N34" i="42"/>
  <c r="P34" i="42" s="1"/>
  <c r="AE35" i="42"/>
  <c r="S35" i="42"/>
  <c r="R36" i="38"/>
  <c r="AF35" i="42"/>
  <c r="G35" i="42"/>
  <c r="H35" i="42" s="1"/>
  <c r="Q35" i="38"/>
  <c r="O35" i="42" s="1"/>
  <c r="AA34" i="42"/>
  <c r="AB34" i="42" s="1"/>
  <c r="AI33" i="42"/>
  <c r="AJ33" i="42" s="1"/>
  <c r="W33" i="42"/>
  <c r="X33" i="42" s="1"/>
  <c r="K33" i="42"/>
  <c r="L33" i="42" s="1"/>
  <c r="S34" i="38"/>
  <c r="O33" i="38"/>
  <c r="C34" i="42"/>
  <c r="D34" i="42" s="1"/>
  <c r="K35" i="38"/>
  <c r="N35" i="38"/>
  <c r="AD45" i="42" l="1"/>
  <c r="AH45" i="42"/>
  <c r="Z45" i="42"/>
  <c r="B114" i="38"/>
  <c r="H46" i="38"/>
  <c r="G46" i="38"/>
  <c r="C112" i="38"/>
  <c r="D112" i="38" s="1"/>
  <c r="D46" i="38"/>
  <c r="L46" i="38" s="1"/>
  <c r="C46" i="38"/>
  <c r="N35" i="42"/>
  <c r="P35" i="42" s="1"/>
  <c r="V35" i="42"/>
  <c r="R35" i="42"/>
  <c r="T35" i="42" s="1"/>
  <c r="AE36" i="42"/>
  <c r="S36" i="42"/>
  <c r="K34" i="42"/>
  <c r="L34" i="42" s="1"/>
  <c r="AI34" i="42"/>
  <c r="AJ34" i="42" s="1"/>
  <c r="W34" i="42"/>
  <c r="X34" i="42" s="1"/>
  <c r="S35" i="38"/>
  <c r="Q36" i="38"/>
  <c r="O36" i="42" s="1"/>
  <c r="AA35" i="42"/>
  <c r="AB35" i="42" s="1"/>
  <c r="R37" i="38"/>
  <c r="AF36" i="42"/>
  <c r="G36" i="42"/>
  <c r="H36" i="42" s="1"/>
  <c r="O34" i="38"/>
  <c r="C35" i="42"/>
  <c r="D35" i="42" s="1"/>
  <c r="K36" i="38"/>
  <c r="N36" i="38"/>
  <c r="B115" i="38" l="1"/>
  <c r="G47" i="38"/>
  <c r="H47" i="38"/>
  <c r="C47" i="38"/>
  <c r="D47" i="38"/>
  <c r="L47" i="38" s="1"/>
  <c r="C113" i="38"/>
  <c r="D113" i="38" s="1"/>
  <c r="V36" i="42"/>
  <c r="R36" i="42"/>
  <c r="T36" i="42" s="1"/>
  <c r="N36" i="42"/>
  <c r="P36" i="42" s="1"/>
  <c r="AE37" i="42"/>
  <c r="AF37" i="42" s="1"/>
  <c r="S37" i="42"/>
  <c r="AD46" i="42"/>
  <c r="AH46" i="42"/>
  <c r="Z46" i="42"/>
  <c r="Q37" i="38"/>
  <c r="O37" i="42" s="1"/>
  <c r="AA36" i="42"/>
  <c r="AB36" i="42" s="1"/>
  <c r="R38" i="38"/>
  <c r="G37" i="42"/>
  <c r="H37" i="42" s="1"/>
  <c r="AI35" i="42"/>
  <c r="AJ35" i="42" s="1"/>
  <c r="W35" i="42"/>
  <c r="X35" i="42" s="1"/>
  <c r="K35" i="42"/>
  <c r="L35" i="42" s="1"/>
  <c r="S36" i="38"/>
  <c r="O35" i="38"/>
  <c r="C36" i="42"/>
  <c r="D36" i="42" s="1"/>
  <c r="N37" i="38"/>
  <c r="K37" i="38"/>
  <c r="AD47" i="42" l="1"/>
  <c r="AH47" i="42"/>
  <c r="Z47" i="42"/>
  <c r="S38" i="42"/>
  <c r="AE38" i="42"/>
  <c r="AF38" i="42" s="1"/>
  <c r="N37" i="42"/>
  <c r="P37" i="42" s="1"/>
  <c r="V37" i="42"/>
  <c r="R37" i="42"/>
  <c r="T37" i="42" s="1"/>
  <c r="B116" i="38"/>
  <c r="G48" i="38"/>
  <c r="H48" i="38"/>
  <c r="D48" i="38"/>
  <c r="L48" i="38" s="1"/>
  <c r="C48" i="38"/>
  <c r="C114" i="38"/>
  <c r="D114" i="38" s="1"/>
  <c r="R39" i="38"/>
  <c r="G38" i="42"/>
  <c r="H38" i="42" s="1"/>
  <c r="AI36" i="42"/>
  <c r="AJ36" i="42" s="1"/>
  <c r="W36" i="42"/>
  <c r="X36" i="42" s="1"/>
  <c r="K36" i="42"/>
  <c r="L36" i="42" s="1"/>
  <c r="S37" i="38"/>
  <c r="Q38" i="38"/>
  <c r="O38" i="42" s="1"/>
  <c r="AA37" i="42"/>
  <c r="AB37" i="42" s="1"/>
  <c r="C37" i="42"/>
  <c r="D37" i="42" s="1"/>
  <c r="O36" i="38"/>
  <c r="K38" i="38"/>
  <c r="N38" i="38"/>
  <c r="B117" i="38" l="1"/>
  <c r="H49" i="38"/>
  <c r="G49" i="38"/>
  <c r="D49" i="38"/>
  <c r="L49" i="38" s="1"/>
  <c r="C49" i="38"/>
  <c r="C115" i="38"/>
  <c r="D115" i="38" s="1"/>
  <c r="N38" i="42"/>
  <c r="P38" i="42" s="1"/>
  <c r="V38" i="42"/>
  <c r="R38" i="42"/>
  <c r="T38" i="42" s="1"/>
  <c r="S39" i="42"/>
  <c r="AE39" i="42"/>
  <c r="AF39" i="42" s="1"/>
  <c r="AD48" i="42"/>
  <c r="AH48" i="42"/>
  <c r="Z48" i="42"/>
  <c r="Q39" i="38"/>
  <c r="O39" i="42" s="1"/>
  <c r="AA38" i="42"/>
  <c r="AB38" i="42" s="1"/>
  <c r="AI37" i="42"/>
  <c r="AJ37" i="42" s="1"/>
  <c r="K37" i="42"/>
  <c r="L37" i="42" s="1"/>
  <c r="W37" i="42"/>
  <c r="X37" i="42" s="1"/>
  <c r="S38" i="38"/>
  <c r="R40" i="38"/>
  <c r="G39" i="42"/>
  <c r="H39" i="42" s="1"/>
  <c r="O37" i="38"/>
  <c r="C38" i="42"/>
  <c r="D38" i="42" s="1"/>
  <c r="K39" i="38"/>
  <c r="N39" i="38"/>
  <c r="S40" i="42" l="1"/>
  <c r="AE40" i="42"/>
  <c r="AD49" i="42"/>
  <c r="AH49" i="42"/>
  <c r="Z49" i="42"/>
  <c r="N39" i="42"/>
  <c r="P39" i="42" s="1"/>
  <c r="R39" i="42"/>
  <c r="T39" i="42" s="1"/>
  <c r="V39" i="42"/>
  <c r="B118" i="38"/>
  <c r="G50" i="38"/>
  <c r="H50" i="38"/>
  <c r="C50" i="38"/>
  <c r="D50" i="38"/>
  <c r="C116" i="38"/>
  <c r="D116" i="38" s="1"/>
  <c r="R41" i="38"/>
  <c r="AF40" i="42"/>
  <c r="G40" i="42"/>
  <c r="H40" i="42" s="1"/>
  <c r="AI38" i="42"/>
  <c r="AJ38" i="42" s="1"/>
  <c r="K38" i="42"/>
  <c r="L38" i="42" s="1"/>
  <c r="W38" i="42"/>
  <c r="X38" i="42" s="1"/>
  <c r="S39" i="38"/>
  <c r="Q40" i="38"/>
  <c r="O40" i="42" s="1"/>
  <c r="AA39" i="42"/>
  <c r="AB39" i="42" s="1"/>
  <c r="O38" i="38"/>
  <c r="C39" i="42"/>
  <c r="D39" i="42" s="1"/>
  <c r="K40" i="38"/>
  <c r="N40" i="38"/>
  <c r="H51" i="38" l="1"/>
  <c r="G51" i="38"/>
  <c r="C51" i="38"/>
  <c r="D51" i="38"/>
  <c r="L51" i="38" s="1"/>
  <c r="C117" i="38"/>
  <c r="D117" i="38" s="1"/>
  <c r="B119" i="38"/>
  <c r="S41" i="42"/>
  <c r="AE41" i="42"/>
  <c r="N40" i="42"/>
  <c r="P40" i="42" s="1"/>
  <c r="R40" i="42"/>
  <c r="T40" i="42" s="1"/>
  <c r="V40" i="42"/>
  <c r="L50" i="38"/>
  <c r="W39" i="42"/>
  <c r="X39" i="42" s="1"/>
  <c r="K39" i="42"/>
  <c r="L39" i="42" s="1"/>
  <c r="AI39" i="42"/>
  <c r="AJ39" i="42" s="1"/>
  <c r="S40" i="38"/>
  <c r="Q41" i="38"/>
  <c r="O41" i="42" s="1"/>
  <c r="AA40" i="42"/>
  <c r="AB40" i="42" s="1"/>
  <c r="R42" i="38"/>
  <c r="AF41" i="42"/>
  <c r="G41" i="42"/>
  <c r="H41" i="42" s="1"/>
  <c r="C40" i="42"/>
  <c r="D40" i="42" s="1"/>
  <c r="O39" i="38"/>
  <c r="K41" i="38"/>
  <c r="N41" i="38"/>
  <c r="H52" i="38" l="1"/>
  <c r="G52" i="38"/>
  <c r="C52" i="38"/>
  <c r="D52" i="38"/>
  <c r="L52" i="38" s="1"/>
  <c r="B120" i="38"/>
  <c r="C118" i="38"/>
  <c r="D118" i="38" s="1"/>
  <c r="S42" i="42"/>
  <c r="AE42" i="42"/>
  <c r="AF42" i="42" s="1"/>
  <c r="Z51" i="42"/>
  <c r="AD51" i="42"/>
  <c r="AH51" i="42"/>
  <c r="Z50" i="42"/>
  <c r="AD50" i="42"/>
  <c r="AH50" i="42"/>
  <c r="R41" i="42"/>
  <c r="T41" i="42" s="1"/>
  <c r="V41" i="42"/>
  <c r="N41" i="42"/>
  <c r="P41" i="42" s="1"/>
  <c r="R43" i="38"/>
  <c r="G42" i="42"/>
  <c r="H42" i="42" s="1"/>
  <c r="Q42" i="38"/>
  <c r="O42" i="42" s="1"/>
  <c r="AA41" i="42"/>
  <c r="AB41" i="42" s="1"/>
  <c r="W40" i="42"/>
  <c r="X40" i="42" s="1"/>
  <c r="AI40" i="42"/>
  <c r="AJ40" i="42" s="1"/>
  <c r="K40" i="42"/>
  <c r="L40" i="42" s="1"/>
  <c r="S41" i="38"/>
  <c r="O40" i="38"/>
  <c r="C41" i="42"/>
  <c r="D41" i="42" s="1"/>
  <c r="K42" i="38"/>
  <c r="N42" i="38"/>
  <c r="R42" i="42" l="1"/>
  <c r="T42" i="42" s="1"/>
  <c r="N42" i="42"/>
  <c r="P42" i="42" s="1"/>
  <c r="V42" i="42"/>
  <c r="S43" i="42"/>
  <c r="AE43" i="42"/>
  <c r="H53" i="38"/>
  <c r="G53" i="38"/>
  <c r="D53" i="38"/>
  <c r="L53" i="38" s="1"/>
  <c r="C53" i="38"/>
  <c r="B121" i="38"/>
  <c r="C119" i="38"/>
  <c r="D119" i="38" s="1"/>
  <c r="Z52" i="42"/>
  <c r="AD52" i="42"/>
  <c r="AH52" i="42"/>
  <c r="AI41" i="42"/>
  <c r="AJ41" i="42" s="1"/>
  <c r="W41" i="42"/>
  <c r="X41" i="42" s="1"/>
  <c r="K41" i="42"/>
  <c r="L41" i="42" s="1"/>
  <c r="S42" i="38"/>
  <c r="Q43" i="38"/>
  <c r="O43" i="42" s="1"/>
  <c r="AA42" i="42"/>
  <c r="AB42" i="42" s="1"/>
  <c r="R44" i="38"/>
  <c r="AF43" i="42"/>
  <c r="G43" i="42"/>
  <c r="H43" i="42" s="1"/>
  <c r="C42" i="42"/>
  <c r="D42" i="42" s="1"/>
  <c r="K43" i="38"/>
  <c r="N43" i="38"/>
  <c r="H54" i="38" l="1"/>
  <c r="G54" i="38"/>
  <c r="C54" i="38"/>
  <c r="D54" i="38"/>
  <c r="C120" i="38"/>
  <c r="D120" i="38" s="1"/>
  <c r="C121" i="38"/>
  <c r="D121" i="38" s="1"/>
  <c r="AE44" i="42"/>
  <c r="AF44" i="42" s="1"/>
  <c r="S44" i="42"/>
  <c r="Z53" i="42"/>
  <c r="AD53" i="42"/>
  <c r="AH53" i="42"/>
  <c r="R43" i="42"/>
  <c r="T43" i="42" s="1"/>
  <c r="V43" i="42"/>
  <c r="N43" i="42"/>
  <c r="P43" i="42" s="1"/>
  <c r="R45" i="38"/>
  <c r="G44" i="42"/>
  <c r="H44" i="42" s="1"/>
  <c r="Q44" i="38"/>
  <c r="O44" i="42" s="1"/>
  <c r="AA43" i="42"/>
  <c r="AB43" i="42" s="1"/>
  <c r="AI42" i="42"/>
  <c r="AJ42" i="42" s="1"/>
  <c r="W42" i="42"/>
  <c r="X42" i="42" s="1"/>
  <c r="K42" i="42"/>
  <c r="L42" i="42" s="1"/>
  <c r="S43" i="38"/>
  <c r="O42" i="38"/>
  <c r="C43" i="42"/>
  <c r="D43" i="42" s="1"/>
  <c r="N44" i="38"/>
  <c r="K44" i="38"/>
  <c r="L54" i="38" l="1"/>
  <c r="O54" i="38"/>
  <c r="V44" i="42"/>
  <c r="R44" i="42"/>
  <c r="T44" i="42" s="1"/>
  <c r="N44" i="42"/>
  <c r="P44" i="42" s="1"/>
  <c r="S45" i="42"/>
  <c r="AE45" i="42"/>
  <c r="AF45" i="42" s="1"/>
  <c r="K43" i="42"/>
  <c r="L43" i="42" s="1"/>
  <c r="AI43" i="42"/>
  <c r="AJ43" i="42" s="1"/>
  <c r="W43" i="42"/>
  <c r="X43" i="42" s="1"/>
  <c r="S44" i="38"/>
  <c r="Q45" i="38"/>
  <c r="O45" i="42" s="1"/>
  <c r="AA44" i="42"/>
  <c r="AB44" i="42" s="1"/>
  <c r="R46" i="38"/>
  <c r="G45" i="42"/>
  <c r="H45" i="42" s="1"/>
  <c r="C44" i="42"/>
  <c r="D44" i="42" s="1"/>
  <c r="O43" i="38"/>
  <c r="K45" i="38"/>
  <c r="N45" i="38"/>
  <c r="R45" i="42" l="1"/>
  <c r="T45" i="42" s="1"/>
  <c r="V45" i="42"/>
  <c r="N45" i="42"/>
  <c r="P45" i="42" s="1"/>
  <c r="AE46" i="42"/>
  <c r="S46" i="42"/>
  <c r="AD54" i="42"/>
  <c r="AF54" i="42" s="1"/>
  <c r="Z54" i="42"/>
  <c r="AH54" i="42"/>
  <c r="AJ54" i="42" s="1"/>
  <c r="Q46" i="38"/>
  <c r="O46" i="42" s="1"/>
  <c r="AA45" i="42"/>
  <c r="AB45" i="42" s="1"/>
  <c r="R47" i="38"/>
  <c r="AF46" i="42"/>
  <c r="G46" i="42"/>
  <c r="H46" i="42" s="1"/>
  <c r="AI44" i="42"/>
  <c r="AJ44" i="42" s="1"/>
  <c r="W44" i="42"/>
  <c r="X44" i="42" s="1"/>
  <c r="K44" i="42"/>
  <c r="L44" i="42" s="1"/>
  <c r="S45" i="38"/>
  <c r="O44" i="38"/>
  <c r="C45" i="42"/>
  <c r="D45" i="42" s="1"/>
  <c r="N46" i="38"/>
  <c r="K46" i="38"/>
  <c r="V46" i="42" l="1"/>
  <c r="R46" i="42"/>
  <c r="T46" i="42" s="1"/>
  <c r="N46" i="42"/>
  <c r="P46" i="42" s="1"/>
  <c r="AE47" i="42"/>
  <c r="S47" i="42"/>
  <c r="AI45" i="42"/>
  <c r="AJ45" i="42" s="1"/>
  <c r="K45" i="42"/>
  <c r="L45" i="42" s="1"/>
  <c r="W45" i="42"/>
  <c r="X45" i="42" s="1"/>
  <c r="S46" i="38"/>
  <c r="R48" i="38"/>
  <c r="AF47" i="42"/>
  <c r="G47" i="42"/>
  <c r="H47" i="42" s="1"/>
  <c r="Q47" i="38"/>
  <c r="O47" i="42" s="1"/>
  <c r="AA46" i="42"/>
  <c r="AB46" i="42" s="1"/>
  <c r="O45" i="38"/>
  <c r="C46" i="42"/>
  <c r="D46" i="42" s="1"/>
  <c r="N47" i="38"/>
  <c r="K47" i="38"/>
  <c r="AE48" i="42" l="1"/>
  <c r="S48" i="42"/>
  <c r="N47" i="42"/>
  <c r="P47" i="42" s="1"/>
  <c r="V47" i="42"/>
  <c r="R47" i="42"/>
  <c r="T47" i="42" s="1"/>
  <c r="R49" i="38"/>
  <c r="AF48" i="42"/>
  <c r="G48" i="42"/>
  <c r="H48" i="42" s="1"/>
  <c r="Q48" i="38"/>
  <c r="O48" i="42" s="1"/>
  <c r="AA47" i="42"/>
  <c r="AB47" i="42" s="1"/>
  <c r="AI46" i="42"/>
  <c r="AJ46" i="42" s="1"/>
  <c r="K46" i="42"/>
  <c r="L46" i="42" s="1"/>
  <c r="W46" i="42"/>
  <c r="X46" i="42" s="1"/>
  <c r="S47" i="38"/>
  <c r="C47" i="42"/>
  <c r="D47" i="42" s="1"/>
  <c r="O46" i="38"/>
  <c r="N48" i="38"/>
  <c r="K48" i="38"/>
  <c r="S49" i="42" l="1"/>
  <c r="AE49" i="42"/>
  <c r="AF49" i="42" s="1"/>
  <c r="N48" i="42"/>
  <c r="P48" i="42" s="1"/>
  <c r="V48" i="42"/>
  <c r="R48" i="42"/>
  <c r="T48" i="42" s="1"/>
  <c r="AI47" i="42"/>
  <c r="AJ47" i="42" s="1"/>
  <c r="W47" i="42"/>
  <c r="X47" i="42" s="1"/>
  <c r="K47" i="42"/>
  <c r="L47" i="42" s="1"/>
  <c r="S48" i="38"/>
  <c r="Q49" i="38"/>
  <c r="O49" i="42" s="1"/>
  <c r="AA48" i="42"/>
  <c r="AB48" i="42" s="1"/>
  <c r="R50" i="38"/>
  <c r="G49" i="42"/>
  <c r="H49" i="42" s="1"/>
  <c r="C48" i="42"/>
  <c r="D48" i="42" s="1"/>
  <c r="O47" i="38"/>
  <c r="N49" i="38"/>
  <c r="K49" i="38"/>
  <c r="S50" i="42" l="1"/>
  <c r="AE50" i="42"/>
  <c r="V49" i="42"/>
  <c r="R49" i="42"/>
  <c r="T49" i="42" s="1"/>
  <c r="N49" i="42"/>
  <c r="P49" i="42" s="1"/>
  <c r="R51" i="38"/>
  <c r="AF50" i="42"/>
  <c r="G50" i="42"/>
  <c r="H50" i="42" s="1"/>
  <c r="Q50" i="38"/>
  <c r="O50" i="42" s="1"/>
  <c r="AA49" i="42"/>
  <c r="AB49" i="42" s="1"/>
  <c r="AI48" i="42"/>
  <c r="AJ48" i="42" s="1"/>
  <c r="K48" i="42"/>
  <c r="L48" i="42" s="1"/>
  <c r="W48" i="42"/>
  <c r="X48" i="42" s="1"/>
  <c r="S49" i="38"/>
  <c r="O48" i="38"/>
  <c r="C49" i="42"/>
  <c r="D49" i="42" s="1"/>
  <c r="K50" i="38"/>
  <c r="N50" i="38"/>
  <c r="S51" i="42" l="1"/>
  <c r="AE51" i="42"/>
  <c r="AF51" i="42" s="1"/>
  <c r="N50" i="42"/>
  <c r="P50" i="42" s="1"/>
  <c r="R50" i="42"/>
  <c r="T50" i="42" s="1"/>
  <c r="V50" i="42"/>
  <c r="AI49" i="42"/>
  <c r="AJ49" i="42" s="1"/>
  <c r="W49" i="42"/>
  <c r="X49" i="42" s="1"/>
  <c r="K49" i="42"/>
  <c r="L49" i="42" s="1"/>
  <c r="S50" i="38"/>
  <c r="Q51" i="38"/>
  <c r="O51" i="42" s="1"/>
  <c r="AA50" i="42"/>
  <c r="AB50" i="42" s="1"/>
  <c r="R52" i="38"/>
  <c r="G51" i="42"/>
  <c r="H51" i="42" s="1"/>
  <c r="C50" i="42"/>
  <c r="D50" i="42" s="1"/>
  <c r="O49" i="38"/>
  <c r="K51" i="38"/>
  <c r="N51" i="38"/>
  <c r="S52" i="42" l="1"/>
  <c r="AE52" i="42"/>
  <c r="N51" i="42"/>
  <c r="P51" i="42" s="1"/>
  <c r="R51" i="42"/>
  <c r="T51" i="42" s="1"/>
  <c r="V51" i="42"/>
  <c r="Q52" i="38"/>
  <c r="O52" i="42" s="1"/>
  <c r="AA51" i="42"/>
  <c r="AB51" i="42" s="1"/>
  <c r="R53" i="38"/>
  <c r="AF52" i="42"/>
  <c r="G52" i="42"/>
  <c r="H52" i="42" s="1"/>
  <c r="AI50" i="42"/>
  <c r="AJ50" i="42" s="1"/>
  <c r="K50" i="42"/>
  <c r="L50" i="42" s="1"/>
  <c r="W50" i="42"/>
  <c r="X50" i="42" s="1"/>
  <c r="S51" i="38"/>
  <c r="O50" i="38"/>
  <c r="C51" i="42"/>
  <c r="D51" i="42" s="1"/>
  <c r="K52" i="38"/>
  <c r="N52" i="38"/>
  <c r="N52" i="42" l="1"/>
  <c r="P52" i="42" s="1"/>
  <c r="R52" i="42"/>
  <c r="T52" i="42" s="1"/>
  <c r="V52" i="42"/>
  <c r="S53" i="42"/>
  <c r="AE53" i="42"/>
  <c r="AI51" i="42"/>
  <c r="AJ51" i="42" s="1"/>
  <c r="K51" i="42"/>
  <c r="L51" i="42" s="1"/>
  <c r="W51" i="42"/>
  <c r="X51" i="42" s="1"/>
  <c r="S52" i="38"/>
  <c r="AF53" i="42"/>
  <c r="G53" i="42"/>
  <c r="H53" i="42" s="1"/>
  <c r="Q53" i="38"/>
  <c r="O53" i="42" s="1"/>
  <c r="AA52" i="42"/>
  <c r="AB52" i="42" s="1"/>
  <c r="C52" i="42"/>
  <c r="D52" i="42" s="1"/>
  <c r="O51" i="38"/>
  <c r="K53" i="38"/>
  <c r="N53" i="38"/>
  <c r="R53" i="42" l="1"/>
  <c r="T53" i="42" s="1"/>
  <c r="N53" i="42"/>
  <c r="P53" i="42" s="1"/>
  <c r="V53" i="42"/>
  <c r="AA53" i="42"/>
  <c r="AB53" i="42" s="1"/>
  <c r="Q54" i="38"/>
  <c r="W52" i="42"/>
  <c r="X52" i="42" s="1"/>
  <c r="AI52" i="42"/>
  <c r="AJ52" i="42" s="1"/>
  <c r="K52" i="42"/>
  <c r="L52" i="42" s="1"/>
  <c r="S53" i="38"/>
  <c r="O52" i="38"/>
  <c r="C54" i="42"/>
  <c r="D54" i="42" s="1"/>
  <c r="C53" i="42"/>
  <c r="D53" i="42" s="1"/>
  <c r="N54" i="38"/>
  <c r="K54" i="38"/>
  <c r="AA54" i="42" l="1"/>
  <c r="AB54" i="42" s="1"/>
  <c r="O54" i="42"/>
  <c r="N54" i="42"/>
  <c r="P54" i="42" s="1"/>
  <c r="R54" i="42"/>
  <c r="T54" i="42" s="1"/>
  <c r="V54" i="42"/>
  <c r="X54" i="42" s="1"/>
  <c r="K53" i="42"/>
  <c r="L53" i="42" s="1"/>
  <c r="AI53" i="42"/>
  <c r="AJ53" i="42" s="1"/>
  <c r="W53" i="42"/>
  <c r="X53" i="42" s="1"/>
  <c r="O53" i="38"/>
  <c r="V28" i="38"/>
  <c r="V29" i="38" s="1"/>
  <c r="V30" i="38" s="1"/>
  <c r="V31" i="38" s="1"/>
  <c r="V32" i="38" s="1"/>
  <c r="V33" i="38" s="1"/>
  <c r="V34" i="38" s="1"/>
  <c r="V35" i="38" s="1"/>
  <c r="V36" i="38" s="1"/>
  <c r="V37" i="38" s="1"/>
  <c r="V38" i="38" s="1"/>
  <c r="V39" i="38" s="1"/>
  <c r="V40" i="38" s="1"/>
  <c r="V41" i="38" s="1"/>
  <c r="V42" i="38" s="1"/>
  <c r="V43" i="38" s="1"/>
  <c r="V44" i="38" s="1"/>
  <c r="V45" i="38" s="1"/>
  <c r="V46" i="38" s="1"/>
  <c r="V47" i="38" s="1"/>
  <c r="V48" i="38" s="1"/>
  <c r="V49" i="38" s="1"/>
  <c r="V50" i="38" s="1"/>
  <c r="V51" i="38" s="1"/>
  <c r="V52" i="38" s="1"/>
  <c r="V53" i="3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geoMap" description="Conexão com a consulta 'geoMap' na pasta de trabalho." type="5" refreshedVersion="8" background="1" saveData="1">
    <dbPr connection="Provider=Microsoft.Mashup.OleDb.1;Data Source=$Workbook$;Location=geoMap;Extended Properties=&quot;&quot;" command="SELECT * FROM [geoMap]"/>
  </connection>
  <connection id="2" xr16:uid="{00000000-0015-0000-FFFF-FFFF01000000}" keepAlive="1" name="Consulta - multiTimeline" description="Conexão com a consulta 'multiTimeline' na pasta de trabalho." type="5" refreshedVersion="8" background="1" saveData="1">
    <dbPr connection="Provider=Microsoft.Mashup.OleDb.1;Data Source=$Workbook$;Location=multiTimeline;Extended Properties=&quot;&quot;" command="SELECT * FROM [multiTimeline]"/>
  </connection>
  <connection id="3" xr16:uid="{00000000-0015-0000-FFFF-FFFF02000000}" keepAlive="1" name="Consulta - Template_Estimation (1)" description="Conexão com a consulta 'Template_Estimation (1)' na pasta de trabalho." type="5" refreshedVersion="8" background="1" saveData="1">
    <dbPr connection="Provider=Microsoft.Mashup.OleDb.1;Data Source=$Workbook$;Location=&quot;Template_Estimation (1)&quot;;Extended Properties=&quot;&quot;" command="SELECT * FROM [Template_Estimation (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<sst xmlns="http://schemas.openxmlformats.org/spreadsheetml/2006/main" count="273" uniqueCount="101">
  <si>
    <t>Fonte</t>
  </si>
  <si>
    <t>(billion passenger-km)</t>
  </si>
  <si>
    <t>(million ton-km equivalent)</t>
  </si>
  <si>
    <t>MJ/ton-km-eq</t>
  </si>
  <si>
    <t>MJ/pass-km-eq</t>
  </si>
  <si>
    <t>gCO2eq/MJ</t>
  </si>
  <si>
    <t>extras</t>
  </si>
  <si>
    <t>NOTES</t>
  </si>
  <si>
    <t>GDP per capita</t>
  </si>
  <si>
    <t>(million ton-kilometer)</t>
  </si>
  <si>
    <t>(million passenger-km)</t>
  </si>
  <si>
    <t>(million passenger-km-equivalent)</t>
  </si>
  <si>
    <t>MJ</t>
  </si>
  <si>
    <t>current international $</t>
  </si>
  <si>
    <t>Calculated</t>
  </si>
  <si>
    <t>WB</t>
  </si>
  <si>
    <t>1.convert historical demand for frieght and passenger (ton-km equivalent)</t>
  </si>
  <si>
    <t>1.convert historical demand for frieght and passenger (pass-km equivalent)</t>
  </si>
  <si>
    <t>2. divide fuel demand in MJ by aviaiotn demand</t>
  </si>
  <si>
    <t>2. divide by fuel consumption in MJ</t>
  </si>
  <si>
    <t>Paper values</t>
  </si>
  <si>
    <t>2019 Percentage split passenger freight</t>
  </si>
  <si>
    <t>passenger</t>
  </si>
  <si>
    <t>freight</t>
  </si>
  <si>
    <t>Decreases in 2020 compared to 2019</t>
  </si>
  <si>
    <t>Passenger demand in 2021 compared to 2019</t>
  </si>
  <si>
    <t>-</t>
  </si>
  <si>
    <t>Total</t>
  </si>
  <si>
    <t>Ano</t>
  </si>
  <si>
    <t>NacDom</t>
  </si>
  <si>
    <t>NacIntl</t>
  </si>
  <si>
    <t>EstDom</t>
  </si>
  <si>
    <t>EstIntl</t>
  </si>
  <si>
    <t>(bilhão passengeiro-km)</t>
  </si>
  <si>
    <t>Demanda de Passageiro (D)</t>
  </si>
  <si>
    <t>Demanda de carga (D)</t>
  </si>
  <si>
    <t>BAU</t>
  </si>
  <si>
    <t>(milhão t-km)</t>
  </si>
  <si>
    <t>(milhão t-km equivalente)</t>
  </si>
  <si>
    <t>mil m^3</t>
  </si>
  <si>
    <t>Carga 106 t.km</t>
  </si>
  <si>
    <t>Fonte: EPE</t>
  </si>
  <si>
    <t>1. Densidade em 15 °C: 775-840 (média: 807,7) Ng et. al., 2021</t>
  </si>
  <si>
    <t>2. Poder calorífico é 48,2 segundo Ng et. Al., 2021</t>
  </si>
  <si>
    <t>Cálculo estimado:</t>
  </si>
  <si>
    <t>Brasil</t>
  </si>
  <si>
    <t>https://data.worldbank.org/indicator/NY.GDP.PCAP.PP.CD?name_desc=false&amp;locations=BR</t>
  </si>
  <si>
    <t>ANAC/EPE</t>
  </si>
  <si>
    <t>SEEG - Sistema de Estimativa de Emissão de Gases</t>
  </si>
  <si>
    <t>Histórico da demanda de passageiros</t>
  </si>
  <si>
    <t>Histórico de emissões</t>
  </si>
  <si>
    <t>Histórico da demanda de carga</t>
  </si>
  <si>
    <t>Histórico de demanda combinado</t>
  </si>
  <si>
    <t>Consumo de combustível</t>
  </si>
  <si>
    <t>Intensidade de carbono</t>
  </si>
  <si>
    <t>EPE/ANP</t>
  </si>
  <si>
    <t>(t CO2eq) GWP100-AR6</t>
  </si>
  <si>
    <t>Cálculo</t>
  </si>
  <si>
    <t xml:space="preserve">1. Converter bilhão de pkm pra milhão de pkm </t>
  </si>
  <si>
    <t>2. Depois multiplique por 90 kg (assumindo dado da IEA: https://www.iea.org/data-and-statistics/charts/energy-intensity-of-passenger-aviation-in-the-net-zero-scenario-2000-2030)</t>
  </si>
  <si>
    <t>3. Então divida por 1000 para obter o valor em toneladas</t>
  </si>
  <si>
    <t>Projeções para o PDE 2034</t>
  </si>
  <si>
    <t xml:space="preserve">2. Multiplicar por 1000 </t>
  </si>
  <si>
    <t>4. Adicione a carga</t>
  </si>
  <si>
    <t>1. Converter tonelada carga dividindo por 90 para obter em passageiro</t>
  </si>
  <si>
    <t>1. convert emissions from t to g</t>
  </si>
  <si>
    <t>Evolução histórica do PIB (1990-2000):</t>
  </si>
  <si>
    <t>Taxa interanual</t>
  </si>
  <si>
    <t>(milhão passageiro-km equivalente)</t>
  </si>
  <si>
    <t>BUA</t>
  </si>
  <si>
    <t>MJ/t-km-eq</t>
  </si>
  <si>
    <t>Aviação se recupera em 2024 (atingindo valor  de 2019), e cresce a uma taxa de 3,033% ao ano, seguindo o crescimento médio do PIB de 1990-2019</t>
  </si>
  <si>
    <t>Demanda de carga na aviação cresce com o PIB. PIB cresceu em 3,033% 1990-2019</t>
  </si>
  <si>
    <t>Demanda Combinada (D)</t>
  </si>
  <si>
    <t>Intensidade Energética (e)</t>
  </si>
  <si>
    <t>Histórico da intensidade Energética</t>
  </si>
  <si>
    <t>Elasticidade</t>
  </si>
  <si>
    <t>PIB</t>
  </si>
  <si>
    <t>Projeção Acelerada</t>
  </si>
  <si>
    <t>Variação do PIB</t>
  </si>
  <si>
    <t>(PIB_2 - PIB_1)/PIB_1</t>
  </si>
  <si>
    <t>Projeção Moderada</t>
  </si>
  <si>
    <t>Elasticidade de 1,59(https://doi.org/10.1016/j.cstp.2022.04.012 )</t>
  </si>
  <si>
    <t xml:space="preserve">O cenário prevê melhorias moderadas, com uma taxa de eficiência de combustível de 0,96% a.a e a adoção de iniciativas operacionais conservadoras, como NextGen e SESAR </t>
  </si>
  <si>
    <t>BAU-BAU</t>
  </si>
  <si>
    <t>A eficiência no consumo de combustível em 2050 será 27% melhor em comparação com 2023, resultando em um aumento anual de 1,16% até 2050, conforme as medidas do terceiro cenário da CAEP/12[1]. (ICAO, 2022)</t>
  </si>
  <si>
    <t>[1] Committee on Aviation Environmental Protection é um comitê técnico do Conselho da ICAO, estabelecido em 1983, com objetivo de assistir na formulação de novas políticas e práticas relacionados ao ruído e emissões de aeronaves, e, de forma mais geral, nas avaliações ambientais da aviação.</t>
  </si>
  <si>
    <t>A eficiência no consumo de combustível em 2050 será 34,1% melhor em comparação com 2023, resultando em um aumento anual de 1,54% até 2050, conforme as medidas do quarto cenário da CAEP/12 (ICAO, 2022).</t>
  </si>
  <si>
    <t>Moderada-Moderada</t>
  </si>
  <si>
    <t>Acelerado-Acelerado</t>
  </si>
  <si>
    <t>Combustível necessário (MJ)</t>
  </si>
  <si>
    <t>Intensidade Energética (MJ/t-km-eq)</t>
  </si>
  <si>
    <t>Demanda (t-km eq)</t>
  </si>
  <si>
    <r>
      <t>BAU-</t>
    </r>
    <r>
      <rPr>
        <b/>
        <sz val="14"/>
        <color theme="4"/>
        <rFont val="Calibri"/>
        <family val="2"/>
        <scheme val="minor"/>
      </rPr>
      <t>Moderada</t>
    </r>
  </si>
  <si>
    <r>
      <t>BAU-</t>
    </r>
    <r>
      <rPr>
        <b/>
        <sz val="14"/>
        <color rgb="FF448F00"/>
        <rFont val="Calibri"/>
        <family val="2"/>
        <scheme val="minor"/>
      </rPr>
      <t>Acelerada</t>
    </r>
  </si>
  <si>
    <r>
      <t>Acelerado-</t>
    </r>
    <r>
      <rPr>
        <b/>
        <sz val="14"/>
        <color theme="8" tint="-0.249977111117893"/>
        <rFont val="Calibri"/>
        <family val="2"/>
        <scheme val="minor"/>
      </rPr>
      <t>Moderada</t>
    </r>
  </si>
  <si>
    <r>
      <t>Acelerado-</t>
    </r>
    <r>
      <rPr>
        <b/>
        <sz val="14"/>
        <color rgb="FFFF0000"/>
        <rFont val="Calibri"/>
        <family val="2"/>
        <scheme val="minor"/>
      </rPr>
      <t>BAU</t>
    </r>
  </si>
  <si>
    <r>
      <t>Moderada-</t>
    </r>
    <r>
      <rPr>
        <b/>
        <sz val="14"/>
        <color rgb="FFFF0000"/>
        <rFont val="Calibri"/>
        <family val="2"/>
        <scheme val="minor"/>
      </rPr>
      <t>BAU</t>
    </r>
  </si>
  <si>
    <r>
      <t>Moderada-</t>
    </r>
    <r>
      <rPr>
        <b/>
        <sz val="14"/>
        <color rgb="FF469000"/>
        <rFont val="Calibri"/>
        <family val="2"/>
        <scheme val="minor"/>
      </rPr>
      <t>Acelerada</t>
    </r>
  </si>
  <si>
    <t>DEMANDA-INTENSIDADE ENERGÉTICA</t>
  </si>
  <si>
    <t>Elasticidade de 1,29(https://doi.org/10.1016/j.cstp.2022.04.012 )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</si>
</sst>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"/>
    <numFmt numFmtId="165" formatCode="_(* #,##0.00_);_(* \(#,##0.00\);_(* &quot;-&quot;??_);_(@_)"/>
    <numFmt numFmtId="166" formatCode="_(* #,##0.0_);_(* \(#,##0.0\);_(* &quot;-&quot;??_);_(@_)"/>
    <numFmt numFmtId="167" formatCode="0.0%"/>
    <numFmt numFmtId="168" formatCode="_(* #,##0_);_(* \(#,##0\);_(* &quot;-&quot;??_);_(@_)"/>
    <numFmt numFmtId="169" formatCode="_-* #,##0.00_-;\-* #,##0.00_-;_-* &quot;-&quot;?_-;_-@_-"/>
    <numFmt numFmtId="170" formatCode="_(* #,##0.000_);_(* \(#,##0.000\);_(* &quot;-&quot;??_);_(@_)"/>
    <numFmt numFmtId="171" formatCode="0.00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/>
      <name val="Calibri"/>
      <family val="2"/>
      <scheme val="minor"/>
    </font>
    <font>
      <sz val="12"/>
      <color theme="6"/>
      <name val="Calibri"/>
      <family val="2"/>
      <scheme val="minor"/>
    </font>
    <font>
      <b/>
      <sz val="10"/>
      <name val="Arial"/>
      <family val="2"/>
    </font>
    <font>
      <sz val="11"/>
      <color theme="5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rgb="FF448F0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4"/>
      <color rgb="FF469000"/>
      <name val="Calibri"/>
      <family val="2"/>
      <scheme val="minor"/>
    </font>
    <font>
      <b/>
      <sz val="16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9" fillId="12" borderId="0" applyNumberFormat="0" applyBorder="0" applyAlignment="0" applyProtection="0"/>
    <xf numFmtId="0" fontId="25" fillId="13" borderId="0" applyNumberFormat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65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6" fontId="0" fillId="0" borderId="0" xfId="0" applyNumberFormat="1"/>
    <xf numFmtId="165" fontId="0" fillId="0" borderId="0" xfId="0" applyNumberFormat="1" applyAlignment="1">
      <alignment horizontal="center" vertical="center"/>
    </xf>
    <xf numFmtId="2" fontId="10" fillId="0" borderId="0" xfId="0" applyNumberFormat="1" applyFont="1"/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3" fillId="0" borderId="1" xfId="0" applyFont="1" applyBorder="1"/>
    <xf numFmtId="0" fontId="3" fillId="6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 wrapText="1"/>
    </xf>
    <xf numFmtId="3" fontId="0" fillId="0" borderId="1" xfId="0" applyNumberFormat="1" applyBorder="1"/>
    <xf numFmtId="0" fontId="0" fillId="0" borderId="1" xfId="0" applyBorder="1" applyAlignment="1">
      <alignment horizontal="center" vertical="center"/>
    </xf>
    <xf numFmtId="168" fontId="0" fillId="0" borderId="0" xfId="0" applyNumberFormat="1"/>
    <xf numFmtId="168" fontId="0" fillId="0" borderId="1" xfId="0" applyNumberFormat="1" applyBorder="1" applyAlignment="1">
      <alignment horizontal="center"/>
    </xf>
    <xf numFmtId="167" fontId="0" fillId="0" borderId="0" xfId="2" applyNumberFormat="1" applyFont="1"/>
    <xf numFmtId="171" fontId="0" fillId="0" borderId="1" xfId="2" applyNumberFormat="1" applyFont="1" applyBorder="1" applyAlignment="1">
      <alignment vertical="center" wrapText="1"/>
    </xf>
    <xf numFmtId="171" fontId="3" fillId="0" borderId="1" xfId="2" applyNumberFormat="1" applyFont="1" applyBorder="1" applyAlignment="1">
      <alignment horizontal="center" vertical="center" wrapText="1"/>
    </xf>
    <xf numFmtId="171" fontId="0" fillId="0" borderId="1" xfId="2" applyNumberFormat="1" applyFont="1" applyBorder="1"/>
    <xf numFmtId="171" fontId="0" fillId="0" borderId="0" xfId="2" applyNumberFormat="1" applyFont="1"/>
    <xf numFmtId="171" fontId="0" fillId="0" borderId="0" xfId="2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171" fontId="0" fillId="0" borderId="0" xfId="2" applyNumberFormat="1" applyFon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0" borderId="6" xfId="0" applyNumberFormat="1" applyBorder="1"/>
    <xf numFmtId="0" fontId="0" fillId="0" borderId="6" xfId="0" applyBorder="1"/>
    <xf numFmtId="166" fontId="0" fillId="0" borderId="0" xfId="0" applyNumberFormat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0" fillId="0" borderId="10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5" fontId="0" fillId="8" borderId="4" xfId="0" applyNumberFormat="1" applyFill="1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170" fontId="0" fillId="0" borderId="4" xfId="0" applyNumberFormat="1" applyBorder="1" applyAlignment="1">
      <alignment horizontal="center" vertical="center"/>
    </xf>
    <xf numFmtId="0" fontId="14" fillId="0" borderId="0" xfId="4"/>
    <xf numFmtId="166" fontId="0" fillId="4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65" fontId="0" fillId="8" borderId="0" xfId="0" applyNumberForma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170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165" fontId="0" fillId="8" borderId="11" xfId="0" applyNumberFormat="1" applyFill="1" applyBorder="1" applyAlignment="1">
      <alignment horizontal="center" vertical="center" wrapText="1"/>
    </xf>
    <xf numFmtId="0" fontId="0" fillId="7" borderId="11" xfId="0" applyFill="1" applyBorder="1"/>
    <xf numFmtId="165" fontId="0" fillId="7" borderId="11" xfId="0" applyNumberFormat="1" applyFill="1" applyBorder="1"/>
    <xf numFmtId="0" fontId="0" fillId="8" borderId="11" xfId="0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10" borderId="0" xfId="0" applyFont="1" applyFill="1"/>
    <xf numFmtId="0" fontId="5" fillId="10" borderId="4" xfId="0" applyFont="1" applyFill="1" applyBorder="1"/>
    <xf numFmtId="0" fontId="5" fillId="2" borderId="0" xfId="0" applyFont="1" applyFill="1"/>
    <xf numFmtId="170" fontId="0" fillId="0" borderId="6" xfId="0" applyNumberFormat="1" applyBorder="1" applyAlignment="1">
      <alignment horizontal="center" vertical="center"/>
    </xf>
    <xf numFmtId="170" fontId="0" fillId="0" borderId="7" xfId="0" applyNumberFormat="1" applyBorder="1" applyAlignment="1">
      <alignment horizontal="center" vertical="center"/>
    </xf>
    <xf numFmtId="170" fontId="0" fillId="0" borderId="6" xfId="0" applyNumberFormat="1" applyBorder="1" applyAlignment="1">
      <alignment horizontal="center" vertical="center" wrapText="1"/>
    </xf>
    <xf numFmtId="170" fontId="10" fillId="0" borderId="0" xfId="0" applyNumberFormat="1" applyFont="1" applyAlignment="1">
      <alignment horizontal="center" vertical="center" wrapText="1"/>
    </xf>
    <xf numFmtId="0" fontId="5" fillId="0" borderId="0" xfId="4" applyFont="1"/>
    <xf numFmtId="164" fontId="14" fillId="0" borderId="0" xfId="4" applyNumberFormat="1"/>
    <xf numFmtId="11" fontId="14" fillId="0" borderId="0" xfId="4" applyNumberFormat="1"/>
    <xf numFmtId="0" fontId="14" fillId="9" borderId="0" xfId="4" applyFill="1"/>
    <xf numFmtId="0" fontId="14" fillId="9" borderId="0" xfId="4" applyFill="1" applyAlignment="1">
      <alignment horizontal="center" vertical="center"/>
    </xf>
    <xf numFmtId="11" fontId="14" fillId="0" borderId="0" xfId="4" applyNumberFormat="1" applyAlignment="1">
      <alignment horizontal="center" vertical="center"/>
    </xf>
    <xf numFmtId="43" fontId="0" fillId="0" borderId="1" xfId="0" applyNumberFormat="1" applyBorder="1"/>
    <xf numFmtId="0" fontId="0" fillId="0" borderId="0" xfId="2" applyNumberFormat="1" applyFont="1"/>
    <xf numFmtId="0" fontId="14" fillId="0" borderId="0" xfId="4" applyAlignment="1">
      <alignment horizontal="center" vertical="center" wrapText="1"/>
    </xf>
    <xf numFmtId="0" fontId="14" fillId="0" borderId="0" xfId="4" applyAlignment="1">
      <alignment horizontal="center" vertical="center"/>
    </xf>
    <xf numFmtId="0" fontId="0" fillId="0" borderId="4" xfId="0" applyBorder="1"/>
    <xf numFmtId="0" fontId="14" fillId="9" borderId="4" xfId="4" applyFill="1" applyBorder="1" applyAlignment="1">
      <alignment horizontal="center" vertical="center"/>
    </xf>
    <xf numFmtId="0" fontId="14" fillId="0" borderId="4" xfId="4" applyBorder="1" applyAlignment="1">
      <alignment horizontal="center" vertical="center" wrapText="1"/>
    </xf>
    <xf numFmtId="0" fontId="14" fillId="9" borderId="4" xfId="4" applyFill="1" applyBorder="1"/>
    <xf numFmtId="0" fontId="5" fillId="2" borderId="4" xfId="0" applyFont="1" applyFill="1" applyBorder="1"/>
    <xf numFmtId="11" fontId="14" fillId="0" borderId="4" xfId="4" applyNumberFormat="1" applyBorder="1"/>
    <xf numFmtId="164" fontId="14" fillId="0" borderId="4" xfId="4" applyNumberFormat="1" applyBorder="1"/>
    <xf numFmtId="0" fontId="14" fillId="0" borderId="6" xfId="4" applyBorder="1" applyAlignment="1">
      <alignment horizontal="center" vertical="center" wrapText="1"/>
    </xf>
    <xf numFmtId="0" fontId="0" fillId="0" borderId="7" xfId="0" applyBorder="1"/>
    <xf numFmtId="0" fontId="3" fillId="5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1" applyAlignment="1" applyProtection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25" fillId="13" borderId="0" xfId="9" applyAlignment="1">
      <alignment horizontal="center" vertical="center"/>
    </xf>
    <xf numFmtId="0" fontId="24" fillId="12" borderId="0" xfId="8" applyFont="1" applyAlignment="1">
      <alignment horizontal="center"/>
    </xf>
    <xf numFmtId="0" fontId="16" fillId="11" borderId="0" xfId="4" applyFont="1" applyFill="1" applyAlignment="1">
      <alignment horizontal="center" vertical="center"/>
    </xf>
    <xf numFmtId="0" fontId="18" fillId="2" borderId="0" xfId="4" applyFont="1" applyFill="1" applyAlignment="1">
      <alignment horizontal="center" vertical="center"/>
    </xf>
    <xf numFmtId="0" fontId="17" fillId="6" borderId="0" xfId="4" applyFont="1" applyFill="1" applyAlignment="1">
      <alignment horizontal="center" vertical="center"/>
    </xf>
  </cellXfs>
  <cellStyles count="10">
    <cellStyle name="Bom" xfId="9" builtinId="26"/>
    <cellStyle name="Comma 2" xfId="5" xr:uid="{AE39C288-DA63-42AD-A145-6BAE170314DA}"/>
    <cellStyle name="Hiperlink" xfId="1" builtinId="8"/>
    <cellStyle name="Hyperlink 2" xfId="7" xr:uid="{7169CFC7-05FD-42DB-AE3A-B1E767A0876A}"/>
    <cellStyle name="Neutro" xfId="8" builtinId="28"/>
    <cellStyle name="Normal" xfId="0" builtinId="0"/>
    <cellStyle name="Normal 2" xfId="3" xr:uid="{DEF2B050-6F11-40D9-91DE-240D46FF9F7E}"/>
    <cellStyle name="Normal 3" xfId="4" xr:uid="{11BD0657-3630-4B30-899E-2D61D408ECB4}"/>
    <cellStyle name="Percent 2" xfId="6" xr:uid="{4575A0B1-6802-4063-9DFB-999FC33C3586}"/>
    <cellStyle name="Porcentagem" xfId="2" builtinId="5"/>
  </cellStyles>
  <dxfs count="0"/>
  <tableStyles count="0" defaultTableStyle="TableStyleMedium2" defaultPivotStyle="PivotStyleLight16"/>
  <colors>
    <mruColors>
      <color rgb="FFFF0000"/>
      <color rgb="FFC77B00"/>
      <color rgb="FF940051"/>
      <color rgb="FFF5DFF3"/>
      <color rgb="FFFFD5D5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Demanda da aviação brasileira</a:t>
            </a:r>
          </a:p>
        </c:rich>
      </c:tx>
      <c:layout>
        <c:manualLayout>
          <c:xMode val="edge"/>
          <c:yMode val="edge"/>
          <c:x val="0.10194176890679364"/>
          <c:y val="0.120982986767485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653665384850143E-2"/>
          <c:y val="9.3736609955891614E-2"/>
          <c:w val="0.853979490935726"/>
          <c:h val="0.78182655334434803"/>
        </c:manualLayout>
      </c:layout>
      <c:areaChart>
        <c:grouping val="stacked"/>
        <c:varyColors val="0"/>
        <c:ser>
          <c:idx val="1"/>
          <c:order val="0"/>
          <c:tx>
            <c:strRef>
              <c:f>Fig_historico_Kaya!$E$2</c:f>
              <c:strCache>
                <c:ptCount val="1"/>
                <c:pt idx="0">
                  <c:v>Histórico da demanda de carga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Fig_futuro_Kaya!$A$4:$A$54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Fig_historico_Kaya!$E$14:$E$37</c:f>
              <c:numCache>
                <c:formatCode>General</c:formatCode>
                <c:ptCount val="24"/>
                <c:pt idx="0">
                  <c:v>1954.6397572020001</c:v>
                </c:pt>
                <c:pt idx="1">
                  <c:v>1909.8107487010002</c:v>
                </c:pt>
                <c:pt idx="2">
                  <c:v>2089.6552224759998</c:v>
                </c:pt>
                <c:pt idx="3">
                  <c:v>1995.6600105060002</c:v>
                </c:pt>
                <c:pt idx="4">
                  <c:v>2332.9972381140001</c:v>
                </c:pt>
                <c:pt idx="5">
                  <c:v>2248.3734151509998</c:v>
                </c:pt>
                <c:pt idx="6">
                  <c:v>2006.9671482210001</c:v>
                </c:pt>
                <c:pt idx="7">
                  <c:v>1995.1700248130001</c:v>
                </c:pt>
                <c:pt idx="8">
                  <c:v>1885.166983998</c:v>
                </c:pt>
                <c:pt idx="9">
                  <c:v>1665.548948659</c:v>
                </c:pt>
                <c:pt idx="10">
                  <c:v>2322.8588367319999</c:v>
                </c:pt>
                <c:pt idx="11">
                  <c:v>2724.3433670599998</c:v>
                </c:pt>
                <c:pt idx="12">
                  <c:v>2555.843214343</c:v>
                </c:pt>
                <c:pt idx="13">
                  <c:v>2671.876238754</c:v>
                </c:pt>
                <c:pt idx="14">
                  <c:v>2791.9761928520002</c:v>
                </c:pt>
                <c:pt idx="15">
                  <c:v>2728.9560408150001</c:v>
                </c:pt>
                <c:pt idx="16">
                  <c:v>2677.9105025569997</c:v>
                </c:pt>
                <c:pt idx="17">
                  <c:v>2794.038987288</c:v>
                </c:pt>
                <c:pt idx="18">
                  <c:v>3357.9307811150002</c:v>
                </c:pt>
                <c:pt idx="19">
                  <c:v>3008.1193706980002</c:v>
                </c:pt>
                <c:pt idx="20">
                  <c:v>2414.819966732</c:v>
                </c:pt>
                <c:pt idx="21">
                  <c:v>3276.8287294619995</c:v>
                </c:pt>
                <c:pt idx="22">
                  <c:v>3151.798699765</c:v>
                </c:pt>
                <c:pt idx="23">
                  <c:v>3088.471982299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2-4B4E-9D0C-145BE5FCD924}"/>
            </c:ext>
          </c:extLst>
        </c:ser>
        <c:ser>
          <c:idx val="0"/>
          <c:order val="1"/>
          <c:tx>
            <c:strRef>
              <c:f>Fig_historico_Kaya!$C$2</c:f>
              <c:strCache>
                <c:ptCount val="1"/>
                <c:pt idx="0">
                  <c:v>Histórico da demanda de passageiros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Fig_futuro_Kaya!$A$4:$A$54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Fig_historico_Kaya!$D$14:$D$37</c:f>
              <c:numCache>
                <c:formatCode>General</c:formatCode>
                <c:ptCount val="24"/>
                <c:pt idx="0">
                  <c:v>4803.8419827900007</c:v>
                </c:pt>
                <c:pt idx="1">
                  <c:v>4621.0532037300009</c:v>
                </c:pt>
                <c:pt idx="2">
                  <c:v>4522.9314564899996</c:v>
                </c:pt>
                <c:pt idx="3">
                  <c:v>4527.1318302</c:v>
                </c:pt>
                <c:pt idx="4">
                  <c:v>5033.5614755100005</c:v>
                </c:pt>
                <c:pt idx="5">
                  <c:v>6013.2438486000001</c:v>
                </c:pt>
                <c:pt idx="6">
                  <c:v>6498.3493177200007</c:v>
                </c:pt>
                <c:pt idx="7">
                  <c:v>7146.5803483500003</c:v>
                </c:pt>
                <c:pt idx="8">
                  <c:v>7804.2738231000003</c:v>
                </c:pt>
                <c:pt idx="9">
                  <c:v>8492.0785704900009</c:v>
                </c:pt>
                <c:pt idx="10">
                  <c:v>10294.54556418</c:v>
                </c:pt>
                <c:pt idx="11">
                  <c:v>11915.596459169999</c:v>
                </c:pt>
                <c:pt idx="12">
                  <c:v>12790.455107040001</c:v>
                </c:pt>
                <c:pt idx="13">
                  <c:v>13197.61578321</c:v>
                </c:pt>
                <c:pt idx="14">
                  <c:v>14165.343198449998</c:v>
                </c:pt>
                <c:pt idx="15">
                  <c:v>14551.981770966537</c:v>
                </c:pt>
                <c:pt idx="16">
                  <c:v>13655.381800679999</c:v>
                </c:pt>
                <c:pt idx="17">
                  <c:v>14063.023691009997</c:v>
                </c:pt>
                <c:pt idx="18">
                  <c:v>15047.805671550001</c:v>
                </c:pt>
                <c:pt idx="19">
                  <c:v>15159.80469033</c:v>
                </c:pt>
                <c:pt idx="20">
                  <c:v>6249.6281479499994</c:v>
                </c:pt>
                <c:pt idx="21">
                  <c:v>7870.7878278299995</c:v>
                </c:pt>
                <c:pt idx="22">
                  <c:v>12717.890367443999</c:v>
                </c:pt>
                <c:pt idx="23">
                  <c:v>14567.75125992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2-4B4E-9D0C-145BE5FCD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27952"/>
        <c:axId val="728628432"/>
      </c:areaChart>
      <c:lineChart>
        <c:grouping val="standard"/>
        <c:varyColors val="0"/>
        <c:ser>
          <c:idx val="4"/>
          <c:order val="2"/>
          <c:tx>
            <c:strRef>
              <c:f>Fig_futuro_Kaya!$L$3</c:f>
              <c:strCache>
                <c:ptCount val="1"/>
                <c:pt idx="0">
                  <c:v>Projeção Acelerada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CED2-4B4E-9D0C-145BE5FCD92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CED2-4B4E-9D0C-145BE5FCD92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CED2-4B4E-9D0C-145BE5FCD92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D2-4B4E-9D0C-145BE5FCD92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CED2-4B4E-9D0C-145BE5FCD92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D2-4B4E-9D0C-145BE5FCD92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CED2-4B4E-9D0C-145BE5FCD924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D2-4B4E-9D0C-145BE5FCD924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ED2-4B4E-9D0C-145BE5FCD924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D2-4B4E-9D0C-145BE5FCD924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ED2-4B4E-9D0C-145BE5FCD924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D2-4B4E-9D0C-145BE5FCD924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D2-4B4E-9D0C-145BE5FCD924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D2-4B4E-9D0C-145BE5FCD924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D2-4B4E-9D0C-145BE5FCD924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D2-4B4E-9D0C-145BE5FCD924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ED2-4B4E-9D0C-145BE5FCD924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D2-4B4E-9D0C-145BE5FCD924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D2-4B4E-9D0C-145BE5FCD924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ED2-4B4E-9D0C-145BE5FCD924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D2-4B4E-9D0C-145BE5FCD924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ED2-4B4E-9D0C-145BE5FCD924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ED2-4B4E-9D0C-145BE5FCD924}"/>
              </c:ext>
            </c:extLst>
          </c:dPt>
          <c:val>
            <c:numRef>
              <c:f>Fig_futuro_Kaya!$L$4:$L$54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 formatCode="_(* #,##0.00_);_(* \(#,##0.00\);_(* &quot;-&quot;??_);_(@_)">
                  <c:v>18398.544465771516</c:v>
                </c:pt>
                <c:pt idx="25" formatCode="_(* #,##0.00_);_(* \(#,##0.00\);_(* &quot;-&quot;??_);_(@_)">
                  <c:v>19293.714857392803</c:v>
                </c:pt>
                <c:pt idx="26" formatCode="_(* #,##0.00_);_(* \(#,##0.00\);_(* &quot;-&quot;??_);_(@_)">
                  <c:v>20232.439239468393</c:v>
                </c:pt>
                <c:pt idx="27" formatCode="_(* #,##0.00_);_(* \(#,##0.00\);_(* &quot;-&quot;??_);_(@_)">
                  <c:v>21216.836705862719</c:v>
                </c:pt>
                <c:pt idx="28" formatCode="_(* #,##0.00_);_(* \(#,##0.00\);_(* &quot;-&quot;??_);_(@_)">
                  <c:v>22249.129453709516</c:v>
                </c:pt>
                <c:pt idx="29" formatCode="_(* #,##0.00_);_(* \(#,##0.00\);_(* &quot;-&quot;??_);_(@_)">
                  <c:v>23331.64779984079</c:v>
                </c:pt>
                <c:pt idx="30" formatCode="_(* #,##0.00_);_(* \(#,##0.00\);_(* &quot;-&quot;??_);_(@_)">
                  <c:v>24466.835441287596</c:v>
                </c:pt>
                <c:pt idx="31" formatCode="_(* #,##0.00_);_(* \(#,##0.00\);_(* &quot;-&quot;??_);_(@_)">
                  <c:v>25657.254971726928</c:v>
                </c:pt>
                <c:pt idx="32" formatCode="_(* #,##0.00_);_(* \(#,##0.00\);_(* &quot;-&quot;??_);_(@_)">
                  <c:v>26905.593666328386</c:v>
                </c:pt>
                <c:pt idx="33" formatCode="_(* #,##0.00_);_(* \(#,##0.00\);_(* &quot;-&quot;??_);_(@_)">
                  <c:v>28214.66954805913</c:v>
                </c:pt>
                <c:pt idx="34" formatCode="_(* #,##0.00_);_(* \(#,##0.00\);_(* &quot;-&quot;??_);_(@_)">
                  <c:v>29587.437749140958</c:v>
                </c:pt>
                <c:pt idx="35" formatCode="_(* #,##0.00_);_(* \(#,##0.00\);_(* &quot;-&quot;??_);_(@_)">
                  <c:v>31026.997182021245</c:v>
                </c:pt>
                <c:pt idx="36" formatCode="_(* #,##0.00_);_(* \(#,##0.00\);_(* &quot;-&quot;??_);_(@_)">
                  <c:v>32536.597534915134</c:v>
                </c:pt>
                <c:pt idx="37" formatCode="_(* #,##0.00_);_(* \(#,##0.00\);_(* &quot;-&quot;??_);_(@_)">
                  <c:v>34119.646607712129</c:v>
                </c:pt>
                <c:pt idx="38" formatCode="_(* #,##0.00_);_(* \(#,##0.00\);_(* &quot;-&quot;??_);_(@_)">
                  <c:v>35779.718004807008</c:v>
                </c:pt>
                <c:pt idx="39" formatCode="_(* #,##0.00_);_(* \(#,##0.00\);_(* &quot;-&quot;??_);_(@_)">
                  <c:v>37520.559202220684</c:v>
                </c:pt>
                <c:pt idx="40" formatCode="_(* #,##0.00_);_(* \(#,##0.00\);_(* &quot;-&quot;??_);_(@_)">
                  <c:v>39346.10000722223</c:v>
                </c:pt>
                <c:pt idx="41" formatCode="_(* #,##0.00_);_(* \(#,##0.00\);_(* &quot;-&quot;??_);_(@_)">
                  <c:v>41260.46142954893</c:v>
                </c:pt>
                <c:pt idx="42" formatCode="_(* #,##0.00_);_(* \(#,##0.00\);_(* &quot;-&quot;??_);_(@_)">
                  <c:v>43267.964984250124</c:v>
                </c:pt>
                <c:pt idx="43" formatCode="_(* #,##0.00_);_(* \(#,##0.00\);_(* &quot;-&quot;??_);_(@_)">
                  <c:v>45373.142447155798</c:v>
                </c:pt>
                <c:pt idx="44" formatCode="_(* #,##0.00_);_(* \(#,##0.00\);_(* &quot;-&quot;??_);_(@_)">
                  <c:v>47580.74608499094</c:v>
                </c:pt>
                <c:pt idx="45" formatCode="_(* #,##0.00_);_(* \(#,##0.00\);_(* &quot;-&quot;??_);_(@_)">
                  <c:v>49895.759383231656</c:v>
                </c:pt>
                <c:pt idx="46" formatCode="_(* #,##0.00_);_(* \(#,##0.00\);_(* &quot;-&quot;??_);_(@_)">
                  <c:v>52323.40829591731</c:v>
                </c:pt>
                <c:pt idx="47" formatCode="_(* #,##0.00_);_(* \(#,##0.00\);_(* &quot;-&quot;??_);_(@_)">
                  <c:v>54869.173042816401</c:v>
                </c:pt>
                <c:pt idx="48" formatCode="_(* #,##0.00_);_(* \(#,##0.00\);_(* &quot;-&quot;??_);_(@_)">
                  <c:v>57538.800480576567</c:v>
                </c:pt>
                <c:pt idx="49" formatCode="_(* #,##0.00_);_(* \(#,##0.00\);_(* &quot;-&quot;??_);_(@_)">
                  <c:v>60338.317075785475</c:v>
                </c:pt>
                <c:pt idx="50" formatCode="_(* #,##0.00_);_(* \(#,##0.00\);_(* &quot;-&quot;??_);_(@_)">
                  <c:v>63274.042509228631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D2-4B4E-9D0C-145BE5FCD924}"/>
            </c:ext>
          </c:extLst>
        </c:ser>
        <c:ser>
          <c:idx val="3"/>
          <c:order val="3"/>
          <c:tx>
            <c:strRef>
              <c:f>Fig_futuro_Kaya!$K$3</c:f>
              <c:strCache>
                <c:ptCount val="1"/>
                <c:pt idx="0">
                  <c:v>Projeção Moderada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CED2-4B4E-9D0C-145BE5FCD92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CED2-4B4E-9D0C-145BE5FCD92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CED2-4B4E-9D0C-145BE5FCD92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CED2-4B4E-9D0C-145BE5FCD92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CED2-4B4E-9D0C-145BE5FCD92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CED2-4B4E-9D0C-145BE5FCD92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CED2-4B4E-9D0C-145BE5FCD924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CED2-4B4E-9D0C-145BE5FCD924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CED2-4B4E-9D0C-145BE5FCD924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CED2-4B4E-9D0C-145BE5FCD924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CED2-4B4E-9D0C-145BE5FCD924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CED2-4B4E-9D0C-145BE5FCD924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CED2-4B4E-9D0C-145BE5FCD924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CED2-4B4E-9D0C-145BE5FCD924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CED2-4B4E-9D0C-145BE5FCD924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CED2-4B4E-9D0C-145BE5FCD924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CED2-4B4E-9D0C-145BE5FCD924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CED2-4B4E-9D0C-145BE5FCD924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CED2-4B4E-9D0C-145BE5FCD924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CED2-4B4E-9D0C-145BE5FCD924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CED2-4B4E-9D0C-145BE5FCD924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CED2-4B4E-9D0C-145BE5FCD924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CED2-4B4E-9D0C-145BE5FCD924}"/>
              </c:ext>
            </c:extLst>
          </c:dPt>
          <c:val>
            <c:numRef>
              <c:f>Fig_futuro_Kaya!$K$4:$K$54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 formatCode="_(* #,##0.00_);_(* \(#,##0.00\);_(* &quot;-&quot;??_);_(@_)">
                  <c:v>18369.642965032202</c:v>
                </c:pt>
                <c:pt idx="25" formatCode="_(* #,##0.00_);_(* \(#,##0.00\);_(* &quot;-&quot;??_);_(@_)">
                  <c:v>19091.506550719318</c:v>
                </c:pt>
                <c:pt idx="26" formatCode="_(* #,##0.00_);_(* \(#,##0.00\);_(* &quot;-&quot;??_);_(@_)">
                  <c:v>19841.736884597038</c:v>
                </c:pt>
                <c:pt idx="27" formatCode="_(* #,##0.00_);_(* \(#,##0.00\);_(* &quot;-&quot;??_);_(@_)">
                  <c:v>20621.448681992359</c:v>
                </c:pt>
                <c:pt idx="28" formatCode="_(* #,##0.00_);_(* \(#,##0.00\);_(* &quot;-&quot;??_);_(@_)">
                  <c:v>21431.800462698277</c:v>
                </c:pt>
                <c:pt idx="29" formatCode="_(* #,##0.00_);_(* \(#,##0.00\);_(* &quot;-&quot;??_);_(@_)">
                  <c:v>22273.996272338336</c:v>
                </c:pt>
                <c:pt idx="30" formatCode="_(* #,##0.00_);_(* \(#,##0.00\);_(* &quot;-&quot;??_);_(@_)">
                  <c:v>23149.287471374624</c:v>
                </c:pt>
                <c:pt idx="31" formatCode="_(* #,##0.00_);_(* \(#,##0.00\);_(* &quot;-&quot;??_);_(@_)">
                  <c:v>24058.974594417683</c:v>
                </c:pt>
                <c:pt idx="32" formatCode="_(* #,##0.00_);_(* \(#,##0.00\);_(* &quot;-&quot;??_);_(@_)">
                  <c:v>25004.409282600864</c:v>
                </c:pt>
                <c:pt idx="33" formatCode="_(* #,##0.00_);_(* \(#,##0.00\);_(* &quot;-&quot;??_);_(@_)">
                  <c:v>25986.996291890384</c:v>
                </c:pt>
                <c:pt idx="34" formatCode="_(* #,##0.00_);_(* \(#,##0.00\);_(* &quot;-&quot;??_);_(@_)">
                  <c:v>27008.195580314812</c:v>
                </c:pt>
                <c:pt idx="35" formatCode="_(* #,##0.00_);_(* \(#,##0.00\);_(* &quot;-&quot;??_);_(@_)">
                  <c:v>28069.524477215931</c:v>
                </c:pt>
                <c:pt idx="36" formatCode="_(* #,##0.00_);_(* \(#,##0.00\);_(* &quot;-&quot;??_);_(@_)">
                  <c:v>29172.559937743117</c:v>
                </c:pt>
                <c:pt idx="37" formatCode="_(* #,##0.00_);_(* \(#,##0.00\);_(* &quot;-&quot;??_);_(@_)">
                  <c:v>30318.940885942167</c:v>
                </c:pt>
                <c:pt idx="38" formatCode="_(* #,##0.00_);_(* \(#,##0.00\);_(* &quot;-&quot;??_);_(@_)">
                  <c:v>31510.370649918717</c:v>
                </c:pt>
                <c:pt idx="39" formatCode="_(* #,##0.00_);_(* \(#,##0.00\);_(* &quot;-&quot;??_);_(@_)">
                  <c:v>32748.61949269586</c:v>
                </c:pt>
                <c:pt idx="40" formatCode="_(* #,##0.00_);_(* \(#,##0.00\);_(* &quot;-&quot;??_);_(@_)">
                  <c:v>34035.527242525328</c:v>
                </c:pt>
                <c:pt idx="41" formatCode="_(* #,##0.00_);_(* \(#,##0.00\);_(* &quot;-&quot;??_);_(@_)">
                  <c:v>35373.006026561008</c:v>
                </c:pt>
                <c:pt idx="42" formatCode="_(* #,##0.00_);_(* \(#,##0.00\);_(* &quot;-&quot;??_);_(@_)">
                  <c:v>36763.043111956285</c:v>
                </c:pt>
                <c:pt idx="43" formatCode="_(* #,##0.00_);_(* \(#,##0.00\);_(* &quot;-&quot;??_);_(@_)">
                  <c:v>38207.703858606867</c:v>
                </c:pt>
                <c:pt idx="44" formatCode="_(* #,##0.00_);_(* \(#,##0.00\);_(* &quot;-&quot;??_);_(@_)">
                  <c:v>39709.134787925796</c:v>
                </c:pt>
                <c:pt idx="45" formatCode="_(* #,##0.00_);_(* \(#,##0.00\);_(* &quot;-&quot;??_);_(@_)">
                  <c:v>41269.56677221143</c:v>
                </c:pt>
                <c:pt idx="46" formatCode="_(* #,##0.00_);_(* \(#,##0.00\);_(* &quot;-&quot;??_);_(@_)">
                  <c:v>42891.318349346133</c:v>
                </c:pt>
                <c:pt idx="47" formatCode="_(* #,##0.00_);_(* \(#,##0.00\);_(* &quot;-&quot;??_);_(@_)">
                  <c:v>44576.799167750942</c:v>
                </c:pt>
                <c:pt idx="48" formatCode="_(* #,##0.00_);_(* \(#,##0.00\);_(* &quot;-&quot;??_);_(@_)">
                  <c:v>46328.513566715606</c:v>
                </c:pt>
                <c:pt idx="49" formatCode="_(* #,##0.00_);_(* \(#,##0.00\);_(* &quot;-&quot;??_);_(@_)">
                  <c:v>48149.064297423014</c:v>
                </c:pt>
                <c:pt idx="50" formatCode="_(* #,##0.00_);_(* \(#,##0.00\);_(* &quot;-&quot;??_);_(@_)">
                  <c:v>50041.15639019692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D2-4B4E-9D0C-145BE5FCD924}"/>
            </c:ext>
          </c:extLst>
        </c:ser>
        <c:ser>
          <c:idx val="2"/>
          <c:order val="4"/>
          <c:tx>
            <c:strRef>
              <c:f>Fig_futuro_Kaya!$J$3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CED2-4B4E-9D0C-145BE5FCD92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CED2-4B4E-9D0C-145BE5FCD92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CED2-4B4E-9D0C-145BE5FCD92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6-CED2-4B4E-9D0C-145BE5FCD92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CED2-4B4E-9D0C-145BE5FCD92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4-CED2-4B4E-9D0C-145BE5FCD92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CED2-4B4E-9D0C-145BE5FCD924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CED2-4B4E-9D0C-145BE5FCD924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CED2-4B4E-9D0C-145BE5FCD924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0-CED2-4B4E-9D0C-145BE5FCD924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CED2-4B4E-9D0C-145BE5FCD924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E-CED2-4B4E-9D0C-145BE5FCD924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CED2-4B4E-9D0C-145BE5FCD924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CED2-4B4E-9D0C-145BE5FCD924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CED2-4B4E-9D0C-145BE5FCD924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CED2-4B4E-9D0C-145BE5FCD924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CED2-4B4E-9D0C-145BE5FCD924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CED2-4B4E-9D0C-145BE5FCD924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CED2-4B4E-9D0C-145BE5FCD924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CED2-4B4E-9D0C-145BE5FCD924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CED2-4B4E-9D0C-145BE5FCD924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CED2-4B4E-9D0C-145BE5FCD924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CED2-4B4E-9D0C-145BE5FCD924}"/>
              </c:ext>
            </c:extLst>
          </c:dPt>
          <c:val>
            <c:numRef>
              <c:f>Fig_futuro_Kaya!$J$4:$J$54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>
                  <c:v>18341.94208167732</c:v>
                </c:pt>
                <c:pt idx="25">
                  <c:v>18898.205993950887</c:v>
                </c:pt>
                <c:pt idx="26">
                  <c:v>19471.339959500165</c:v>
                </c:pt>
                <c:pt idx="27">
                  <c:v>20061.855603636883</c:v>
                </c:pt>
                <c:pt idx="28">
                  <c:v>20670.280067952164</c:v>
                </c:pt>
                <c:pt idx="29">
                  <c:v>21297.156480885304</c:v>
                </c:pt>
                <c:pt idx="30">
                  <c:v>21943.044442563798</c:v>
                </c:pt>
                <c:pt idx="31">
                  <c:v>22608.520524347226</c:v>
                </c:pt>
                <c:pt idx="32">
                  <c:v>23294.178783521085</c:v>
                </c:pt>
                <c:pt idx="33">
                  <c:v>24000.631293599909</c:v>
                </c:pt>
                <c:pt idx="34">
                  <c:v>24728.508690713155</c:v>
                </c:pt>
                <c:pt idx="35">
                  <c:v>25478.460736561563</c:v>
                </c:pt>
                <c:pt idx="36">
                  <c:v>26251.156898446516</c:v>
                </c:pt>
                <c:pt idx="37">
                  <c:v>27047.286946890195</c:v>
                </c:pt>
                <c:pt idx="38">
                  <c:v>27867.561571380069</c:v>
                </c:pt>
                <c:pt idx="39">
                  <c:v>28712.713014787245</c:v>
                </c:pt>
                <c:pt idx="40">
                  <c:v>29583.495727025154</c:v>
                </c:pt>
                <c:pt idx="41">
                  <c:v>30480.687038532029</c:v>
                </c:pt>
                <c:pt idx="42">
                  <c:v>31405.087854178342</c:v>
                </c:pt>
                <c:pt idx="43">
                  <c:v>32357.52336821867</c:v>
                </c:pt>
                <c:pt idx="44">
                  <c:v>33338.843800926225</c:v>
                </c:pt>
                <c:pt idx="45">
                  <c:v>34349.925157567639</c:v>
                </c:pt>
                <c:pt idx="46">
                  <c:v>35391.670010395428</c:v>
                </c:pt>
                <c:pt idx="47">
                  <c:v>36465.008304356343</c:v>
                </c:pt>
                <c:pt idx="48">
                  <c:v>37570.898187234787</c:v>
                </c:pt>
                <c:pt idx="49">
                  <c:v>38710.32686497226</c:v>
                </c:pt>
                <c:pt idx="50">
                  <c:v>39884.311482926569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D2-4B4E-9D0C-145BE5FCD924}"/>
            </c:ext>
          </c:extLst>
        </c:ser>
        <c:ser>
          <c:idx val="5"/>
          <c:order val="5"/>
          <c:tx>
            <c:v>historico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CED2-4B4E-9D0C-145BE5FCD924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4-CED2-4B4E-9D0C-145BE5FCD924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CED2-4B4E-9D0C-145BE5FCD924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2-CED2-4B4E-9D0C-145BE5FCD924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CED2-4B4E-9D0C-145BE5FCD924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0-CED2-4B4E-9D0C-145BE5FCD924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CED2-4B4E-9D0C-145BE5FCD924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E-CED2-4B4E-9D0C-145BE5FCD924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CED2-4B4E-9D0C-145BE5FCD924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C-CED2-4B4E-9D0C-145BE5FCD924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CED2-4B4E-9D0C-145BE5FCD924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A-CED2-4B4E-9D0C-145BE5FCD924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CED2-4B4E-9D0C-145BE5FCD924}"/>
              </c:ext>
            </c:extLst>
          </c:dPt>
          <c:dPt>
            <c:idx val="3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8-CED2-4B4E-9D0C-145BE5FCD924}"/>
              </c:ext>
            </c:extLst>
          </c:dPt>
          <c:dPt>
            <c:idx val="3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CED2-4B4E-9D0C-145BE5FCD924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CED2-4B4E-9D0C-145BE5FCD924}"/>
              </c:ext>
            </c:extLst>
          </c:dPt>
          <c:dPt>
            <c:idx val="4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6-CED2-4B4E-9D0C-145BE5FCD924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CED2-4B4E-9D0C-145BE5FCD924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4-CED2-4B4E-9D0C-145BE5FCD924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2-CED2-4B4E-9D0C-145BE5FCD924}"/>
              </c:ext>
            </c:extLst>
          </c:dPt>
          <c:dPt>
            <c:idx val="4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CED2-4B4E-9D0C-145BE5FCD924}"/>
              </c:ext>
            </c:extLst>
          </c:dPt>
          <c:dPt>
            <c:idx val="4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0-CED2-4B4E-9D0C-145BE5FCD924}"/>
              </c:ext>
            </c:extLst>
          </c:dPt>
          <c:dPt>
            <c:idx val="4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CED2-4B4E-9D0C-145BE5FCD924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E-CED2-4B4E-9D0C-145BE5FCD924}"/>
              </c:ext>
            </c:extLst>
          </c:dPt>
          <c:dPt>
            <c:idx val="4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CED2-4B4E-9D0C-145BE5FCD924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C-CED2-4B4E-9D0C-145BE5FCD924}"/>
              </c:ext>
            </c:extLst>
          </c:dPt>
          <c:dPt>
            <c:idx val="5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CED2-4B4E-9D0C-145BE5FCD924}"/>
              </c:ext>
            </c:extLst>
          </c:dPt>
          <c:val>
            <c:numRef>
              <c:f>Fig_futuro_Kaya!$J$4:$J$54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>
                  <c:v>18341.94208167732</c:v>
                </c:pt>
                <c:pt idx="25">
                  <c:v>18898.205993950887</c:v>
                </c:pt>
                <c:pt idx="26">
                  <c:v>19471.339959500165</c:v>
                </c:pt>
                <c:pt idx="27">
                  <c:v>20061.855603636883</c:v>
                </c:pt>
                <c:pt idx="28">
                  <c:v>20670.280067952164</c:v>
                </c:pt>
                <c:pt idx="29">
                  <c:v>21297.156480885304</c:v>
                </c:pt>
                <c:pt idx="30">
                  <c:v>21943.044442563798</c:v>
                </c:pt>
                <c:pt idx="31">
                  <c:v>22608.520524347226</c:v>
                </c:pt>
                <c:pt idx="32">
                  <c:v>23294.178783521085</c:v>
                </c:pt>
                <c:pt idx="33">
                  <c:v>24000.631293599909</c:v>
                </c:pt>
                <c:pt idx="34">
                  <c:v>24728.508690713155</c:v>
                </c:pt>
                <c:pt idx="35">
                  <c:v>25478.460736561563</c:v>
                </c:pt>
                <c:pt idx="36">
                  <c:v>26251.156898446516</c:v>
                </c:pt>
                <c:pt idx="37">
                  <c:v>27047.286946890195</c:v>
                </c:pt>
                <c:pt idx="38">
                  <c:v>27867.561571380069</c:v>
                </c:pt>
                <c:pt idx="39">
                  <c:v>28712.713014787245</c:v>
                </c:pt>
                <c:pt idx="40">
                  <c:v>29583.495727025154</c:v>
                </c:pt>
                <c:pt idx="41">
                  <c:v>30480.687038532029</c:v>
                </c:pt>
                <c:pt idx="42">
                  <c:v>31405.087854178342</c:v>
                </c:pt>
                <c:pt idx="43">
                  <c:v>32357.52336821867</c:v>
                </c:pt>
                <c:pt idx="44">
                  <c:v>33338.843800926225</c:v>
                </c:pt>
                <c:pt idx="45">
                  <c:v>34349.925157567639</c:v>
                </c:pt>
                <c:pt idx="46">
                  <c:v>35391.670010395428</c:v>
                </c:pt>
                <c:pt idx="47">
                  <c:v>36465.008304356343</c:v>
                </c:pt>
                <c:pt idx="48">
                  <c:v>37570.898187234787</c:v>
                </c:pt>
                <c:pt idx="49">
                  <c:v>38710.32686497226</c:v>
                </c:pt>
                <c:pt idx="50">
                  <c:v>39884.311482926569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ED2-4B4E-9D0C-145BE5FCD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627952"/>
        <c:axId val="728628432"/>
      </c:lineChart>
      <c:lineChart>
        <c:grouping val="standard"/>
        <c:varyColors val="0"/>
        <c:ser>
          <c:idx val="6"/>
          <c:order val="6"/>
          <c:tx>
            <c:v>BAU pkm_e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Fig_futuro_Kaya!$M$4:$M$54</c:f>
              <c:numCache>
                <c:formatCode>_(* #,##0.000_);_(* \(#,##0.000\);_(* "-"??_);_(@_)</c:formatCode>
                <c:ptCount val="51"/>
                <c:pt idx="0">
                  <c:v>75094.24155546668</c:v>
                </c:pt>
                <c:pt idx="1">
                  <c:v>72565.155027011118</c:v>
                </c:pt>
                <c:pt idx="2">
                  <c:v>73473.185321844445</c:v>
                </c:pt>
                <c:pt idx="3">
                  <c:v>72475.464896733334</c:v>
                </c:pt>
                <c:pt idx="4">
                  <c:v>81850.652373600009</c:v>
                </c:pt>
                <c:pt idx="5">
                  <c:v>91795.747375011109</c:v>
                </c:pt>
                <c:pt idx="6">
                  <c:v>94503.516288233339</c:v>
                </c:pt>
                <c:pt idx="7">
                  <c:v>101575.00414625555</c:v>
                </c:pt>
                <c:pt idx="8">
                  <c:v>107660.4534122</c:v>
                </c:pt>
                <c:pt idx="9">
                  <c:v>112862.52799054445</c:v>
                </c:pt>
                <c:pt idx="10">
                  <c:v>140193.38223235554</c:v>
                </c:pt>
                <c:pt idx="11">
                  <c:v>162665.9980692222</c:v>
                </c:pt>
                <c:pt idx="12">
                  <c:v>170514.42579314447</c:v>
                </c:pt>
                <c:pt idx="13">
                  <c:v>176327.68913293333</c:v>
                </c:pt>
                <c:pt idx="14">
                  <c:v>188414.65990335552</c:v>
                </c:pt>
                <c:pt idx="15">
                  <c:v>189290.22284983331</c:v>
                </c:pt>
                <c:pt idx="16">
                  <c:v>181481.02559152219</c:v>
                </c:pt>
                <c:pt idx="17">
                  <c:v>187300.69642553333</c:v>
                </c:pt>
                <c:pt idx="18">
                  <c:v>204508.18280738889</c:v>
                </c:pt>
                <c:pt idx="19">
                  <c:v>201865.82290031112</c:v>
                </c:pt>
                <c:pt idx="20">
                  <c:v>96271.645718688873</c:v>
                </c:pt>
                <c:pt idx="21">
                  <c:v>123862.40619213332</c:v>
                </c:pt>
                <c:pt idx="22">
                  <c:v>176329.87852454445</c:v>
                </c:pt>
                <c:pt idx="23">
                  <c:v>196180.25824687775</c:v>
                </c:pt>
                <c:pt idx="24">
                  <c:v>203799.35646308138</c:v>
                </c:pt>
                <c:pt idx="25">
                  <c:v>209980.06659945429</c:v>
                </c:pt>
                <c:pt idx="26">
                  <c:v>216348.22177222403</c:v>
                </c:pt>
                <c:pt idx="27">
                  <c:v>222909.50670707648</c:v>
                </c:pt>
                <c:pt idx="28">
                  <c:v>229669.77853280181</c:v>
                </c:pt>
                <c:pt idx="29">
                  <c:v>236635.07200983673</c:v>
                </c:pt>
                <c:pt idx="30">
                  <c:v>243811.60491737555</c:v>
                </c:pt>
                <c:pt idx="31">
                  <c:v>251205.78360385809</c:v>
                </c:pt>
                <c:pt idx="32">
                  <c:v>258824.20870578982</c:v>
                </c:pt>
                <c:pt idx="33">
                  <c:v>266673.68103999895</c:v>
                </c:pt>
                <c:pt idx="34">
                  <c:v>274761.20767459058</c:v>
                </c:pt>
                <c:pt idx="35">
                  <c:v>283094.00818401738</c:v>
                </c:pt>
                <c:pt idx="36">
                  <c:v>291679.52109385014</c:v>
                </c:pt>
                <c:pt idx="37">
                  <c:v>300525.4105210022</c:v>
                </c:pt>
                <c:pt idx="38">
                  <c:v>309639.57301533408</c:v>
                </c:pt>
                <c:pt idx="39">
                  <c:v>319030.14460874716</c:v>
                </c:pt>
                <c:pt idx="40">
                  <c:v>328705.50807805726</c:v>
                </c:pt>
                <c:pt idx="41">
                  <c:v>338674.30042813363</c:v>
                </c:pt>
                <c:pt idx="42">
                  <c:v>348945.42060198158</c:v>
                </c:pt>
                <c:pt idx="43">
                  <c:v>359528.03742465185</c:v>
                </c:pt>
                <c:pt idx="44">
                  <c:v>370431.59778806916</c:v>
                </c:pt>
                <c:pt idx="45">
                  <c:v>381665.83508408483</c:v>
                </c:pt>
                <c:pt idx="46">
                  <c:v>393240.77789328253</c:v>
                </c:pt>
                <c:pt idx="47">
                  <c:v>405166.75893729273</c:v>
                </c:pt>
                <c:pt idx="48">
                  <c:v>417454.42430260871</c:v>
                </c:pt>
                <c:pt idx="49">
                  <c:v>430114.7429441362</c:v>
                </c:pt>
                <c:pt idx="50">
                  <c:v>443159.01647696184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CED2-4B4E-9D0C-145BE5FCD924}"/>
            </c:ext>
          </c:extLst>
        </c:ser>
        <c:ser>
          <c:idx val="7"/>
          <c:order val="7"/>
          <c:tx>
            <c:v>moderada pkm_e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Fig_futuro_Kaya!$N$4:$N$27</c:f>
              <c:numCache>
                <c:formatCode>_(* #,##0.000_);_(* \(#,##0.000\);_(* "-"??_);_(@_)</c:formatCode>
                <c:ptCount val="24"/>
                <c:pt idx="0">
                  <c:v>75094.24155546668</c:v>
                </c:pt>
                <c:pt idx="1">
                  <c:v>72565.155027011118</c:v>
                </c:pt>
                <c:pt idx="2">
                  <c:v>73473.185321844445</c:v>
                </c:pt>
                <c:pt idx="3">
                  <c:v>72475.464896733334</c:v>
                </c:pt>
                <c:pt idx="4">
                  <c:v>81850.652373600009</c:v>
                </c:pt>
                <c:pt idx="5">
                  <c:v>91795.747375011109</c:v>
                </c:pt>
                <c:pt idx="6">
                  <c:v>94503.516288233339</c:v>
                </c:pt>
                <c:pt idx="7">
                  <c:v>101575.00414625555</c:v>
                </c:pt>
                <c:pt idx="8">
                  <c:v>107660.4534122</c:v>
                </c:pt>
                <c:pt idx="9">
                  <c:v>112862.52799054445</c:v>
                </c:pt>
                <c:pt idx="10">
                  <c:v>140193.38223235554</c:v>
                </c:pt>
                <c:pt idx="11">
                  <c:v>162665.9980692222</c:v>
                </c:pt>
                <c:pt idx="12">
                  <c:v>170514.42579314447</c:v>
                </c:pt>
                <c:pt idx="13">
                  <c:v>176327.68913293333</c:v>
                </c:pt>
                <c:pt idx="14">
                  <c:v>188414.65990335552</c:v>
                </c:pt>
                <c:pt idx="15">
                  <c:v>189290.22284983331</c:v>
                </c:pt>
                <c:pt idx="16">
                  <c:v>181481.02559152219</c:v>
                </c:pt>
                <c:pt idx="17">
                  <c:v>187300.69642553333</c:v>
                </c:pt>
                <c:pt idx="18">
                  <c:v>204508.18280738889</c:v>
                </c:pt>
                <c:pt idx="19">
                  <c:v>201865.82290031112</c:v>
                </c:pt>
                <c:pt idx="20">
                  <c:v>96271.645718688873</c:v>
                </c:pt>
                <c:pt idx="21">
                  <c:v>123862.40619213332</c:v>
                </c:pt>
                <c:pt idx="22">
                  <c:v>176329.87852454445</c:v>
                </c:pt>
                <c:pt idx="23">
                  <c:v>196180.25824687775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CED2-4B4E-9D0C-145BE5FCD924}"/>
            </c:ext>
          </c:extLst>
        </c:ser>
        <c:ser>
          <c:idx val="8"/>
          <c:order val="8"/>
          <c:tx>
            <c:v>ambiciosa pkm_e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Fig_futuro_Kaya!$O$4:$O$54</c:f>
              <c:numCache>
                <c:formatCode>_(* #,##0.000_);_(* \(#,##0.000\);_(* "-"??_);_(@_)</c:formatCode>
                <c:ptCount val="51"/>
                <c:pt idx="0">
                  <c:v>75094.24155546668</c:v>
                </c:pt>
                <c:pt idx="1">
                  <c:v>72565.155027011118</c:v>
                </c:pt>
                <c:pt idx="2">
                  <c:v>73473.185321844445</c:v>
                </c:pt>
                <c:pt idx="3">
                  <c:v>72475.464896733334</c:v>
                </c:pt>
                <c:pt idx="4">
                  <c:v>81850.652373600009</c:v>
                </c:pt>
                <c:pt idx="5">
                  <c:v>91795.747375011109</c:v>
                </c:pt>
                <c:pt idx="6">
                  <c:v>94503.516288233339</c:v>
                </c:pt>
                <c:pt idx="7">
                  <c:v>101575.00414625555</c:v>
                </c:pt>
                <c:pt idx="8">
                  <c:v>107660.4534122</c:v>
                </c:pt>
                <c:pt idx="9">
                  <c:v>112862.52799054445</c:v>
                </c:pt>
                <c:pt idx="10">
                  <c:v>140193.38223235554</c:v>
                </c:pt>
                <c:pt idx="11">
                  <c:v>162665.9980692222</c:v>
                </c:pt>
                <c:pt idx="12">
                  <c:v>170514.42579314447</c:v>
                </c:pt>
                <c:pt idx="13">
                  <c:v>176327.68913293333</c:v>
                </c:pt>
                <c:pt idx="14">
                  <c:v>188414.65990335552</c:v>
                </c:pt>
                <c:pt idx="15">
                  <c:v>189290.22284983331</c:v>
                </c:pt>
                <c:pt idx="16">
                  <c:v>181481.02559152219</c:v>
                </c:pt>
                <c:pt idx="17">
                  <c:v>187300.69642553333</c:v>
                </c:pt>
                <c:pt idx="18">
                  <c:v>204508.18280738889</c:v>
                </c:pt>
                <c:pt idx="19">
                  <c:v>201865.82290031112</c:v>
                </c:pt>
                <c:pt idx="20">
                  <c:v>96271.645718688873</c:v>
                </c:pt>
                <c:pt idx="21">
                  <c:v>123862.40619213332</c:v>
                </c:pt>
                <c:pt idx="22">
                  <c:v>176329.87852454445</c:v>
                </c:pt>
                <c:pt idx="23">
                  <c:v>196180.25824687775</c:v>
                </c:pt>
                <c:pt idx="24">
                  <c:v>168753.38544811113</c:v>
                </c:pt>
                <c:pt idx="25">
                  <c:v>176948.84552726851</c:v>
                </c:pt>
                <c:pt idx="26">
                  <c:v>185543.05091055707</c:v>
                </c:pt>
                <c:pt idx="27">
                  <c:v>194555.40231691531</c:v>
                </c:pt>
                <c:pt idx="28">
                  <c:v>204006.24439588483</c:v>
                </c:pt>
                <c:pt idx="29">
                  <c:v>213916.91165399904</c:v>
                </c:pt>
                <c:pt idx="30">
                  <c:v>224309.77661569678</c:v>
                </c:pt>
                <c:pt idx="31">
                  <c:v>235208.30032747329</c:v>
                </c:pt>
                <c:pt idx="32">
                  <c:v>246637.08531928287</c:v>
                </c:pt>
                <c:pt idx="33">
                  <c:v>258621.93114274804</c:v>
                </c:pt>
                <c:pt idx="34">
                  <c:v>271189.89261154342</c:v>
                </c:pt>
                <c:pt idx="35">
                  <c:v>284369.3408754401</c:v>
                </c:pt>
                <c:pt idx="36">
                  <c:v>298190.0274658628</c:v>
                </c:pt>
                <c:pt idx="37">
                  <c:v>173.03985306055847</c:v>
                </c:pt>
                <c:pt idx="38">
                  <c:v>327881.42989792797</c:v>
                </c:pt>
                <c:pt idx="39">
                  <c:v>343819.17166317627</c:v>
                </c:pt>
                <c:pt idx="40">
                  <c:v>360532.35490772728</c:v>
                </c:pt>
                <c:pt idx="41">
                  <c:v>378058.70828201866</c:v>
                </c:pt>
                <c:pt idx="42">
                  <c:v>396437.79610184958</c:v>
                </c:pt>
                <c:pt idx="43">
                  <c:v>415711.107661605</c:v>
                </c:pt>
                <c:pt idx="44">
                  <c:v>435922.15089295298</c:v>
                </c:pt>
                <c:pt idx="45">
                  <c:v>457116.55058046727</c:v>
                </c:pt>
                <c:pt idx="46">
                  <c:v>479342.15135585825</c:v>
                </c:pt>
                <c:pt idx="47">
                  <c:v>502649.12570333469</c:v>
                </c:pt>
                <c:pt idx="48">
                  <c:v>527090.0872199022</c:v>
                </c:pt>
                <c:pt idx="49">
                  <c:v>552720.20938627492</c:v>
                </c:pt>
                <c:pt idx="50">
                  <c:v>579597.35011651611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CED2-4B4E-9D0C-145BE5FCD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067311"/>
        <c:axId val="300070191"/>
      </c:lineChart>
      <c:catAx>
        <c:axId val="72862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8432"/>
        <c:crossesAt val="0"/>
        <c:auto val="1"/>
        <c:lblAlgn val="ctr"/>
        <c:lblOffset val="100"/>
        <c:tickLblSkip val="10"/>
        <c:tickMarkSkip val="10"/>
        <c:noMultiLvlLbl val="0"/>
      </c:catAx>
      <c:valAx>
        <c:axId val="728628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14:m xmlns:a14="http://schemas.microsoft.com/office/drawing/2010/main">
                  <m:oMath xmlns:m="http://schemas.openxmlformats.org/officeDocument/2006/math">
                    <m:sSup>
                      <m:sSupPr>
                        <m:ctrlP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20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pt-BR" sz="1200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</m:oMath>
                </a14:m>
                <a:r>
                  <a:rPr lang="pt-BR" sz="1200">
                    <a:solidFill>
                      <a:sysClr val="windowText" lastClr="000000"/>
                    </a:solidFill>
                  </a:rPr>
                  <a:t> tkm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7952"/>
        <c:crosses val="autoZero"/>
        <c:crossBetween val="between"/>
        <c:dispUnits>
          <c:builtInUnit val="tenThousands"/>
        </c:dispUnits>
      </c:valAx>
      <c:valAx>
        <c:axId val="3000701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14:m xmlns:a14="http://schemas.microsoft.com/office/drawing/2010/main"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p>
                        <m:sSupPr>
                          <m:ctrlPr>
                            <a:rPr lang="pt-BR" sz="1100" b="0" i="1" u="none" strike="noStrike" kern="1200" baseline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1100" b="0" i="0" u="none" strike="noStrike" kern="1200" baseline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10</m:t>
                          </m:r>
                        </m:e>
                        <m:sup>
                          <m:r>
                            <a:rPr lang="pt-BR" sz="1100" b="0" i="0" u="none" strike="noStrike" kern="1200" baseline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4</m:t>
                          </m:r>
                        </m:sup>
                      </m:sSup>
                      <m:r>
                        <m:rPr>
                          <m:sty m:val="p"/>
                        </m:rPr>
                        <a:rPr lang="pt-BR" sz="1100" b="0" i="0" u="none" strike="noStrike" kern="1200" baseline="0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</a:rPr>
                        <m:t>pkm</m:t>
                      </m:r>
                    </m:oMath>
                  </m:oMathPara>
                </a14:m>
                <a:endParaRPr lang="pt-BR"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300067311"/>
        <c:crosses val="max"/>
        <c:crossBetween val="between"/>
        <c:dispUnits>
          <c:builtInUnit val="tenThousands"/>
        </c:dispUnits>
      </c:valAx>
      <c:catAx>
        <c:axId val="300067311"/>
        <c:scaling>
          <c:orientation val="minMax"/>
        </c:scaling>
        <c:delete val="1"/>
        <c:axPos val="b"/>
        <c:majorTickMark val="out"/>
        <c:minorTickMark val="none"/>
        <c:tickLblPos val="nextTo"/>
        <c:crossAx val="300070191"/>
        <c:crossesAt val="500000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Intensidade energética da aviação brasileira</a:t>
            </a:r>
          </a:p>
        </c:rich>
      </c:tx>
      <c:layout>
        <c:manualLayout>
          <c:xMode val="edge"/>
          <c:yMode val="edge"/>
          <c:x val="0.32829835805408047"/>
          <c:y val="2.26843100189035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Fig_historico_Kaya!$K$2</c:f>
              <c:strCache>
                <c:ptCount val="1"/>
                <c:pt idx="0">
                  <c:v>Histórico da intensidade Energética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570-4EDB-8BDC-C792C76D7D2C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570-4EDB-8BDC-C792C76D7D2C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570-4EDB-8BDC-C792C76D7D2C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70-4EDB-8BDC-C792C76D7D2C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570-4EDB-8BDC-C792C76D7D2C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570-4EDB-8BDC-C792C76D7D2C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570-4EDB-8BDC-C792C76D7D2C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570-4EDB-8BDC-C792C76D7D2C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570-4EDB-8BDC-C792C76D7D2C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570-4EDB-8BDC-C792C76D7D2C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570-4EDB-8BDC-C792C76D7D2C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570-4EDB-8BDC-C792C76D7D2C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570-4EDB-8BDC-C792C76D7D2C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570-4EDB-8BDC-C792C76D7D2C}"/>
              </c:ext>
            </c:extLst>
          </c:dPt>
          <c:cat>
            <c:numRef>
              <c:f>Fig_futuro_Kaya!$A$4:$A$54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Fig_historico_Kaya!$K$14:$K$37</c:f>
              <c:numCache>
                <c:formatCode>General</c:formatCode>
                <c:ptCount val="24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A-078A-44EE-9022-EB23A388F5E0}"/>
            </c:ext>
          </c:extLst>
        </c:ser>
        <c:ser>
          <c:idx val="0"/>
          <c:order val="1"/>
          <c:tx>
            <c:strRef>
              <c:f>Fig_futuro_Kaya!$Q$3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2-078A-44EE-9022-EB23A388F5E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078A-44EE-9022-EB23A388F5E0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0-078A-44EE-9022-EB23A388F5E0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078A-44EE-9022-EB23A388F5E0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E-078A-44EE-9022-EB23A388F5E0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078A-44EE-9022-EB23A388F5E0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C-078A-44EE-9022-EB23A388F5E0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078A-44EE-9022-EB23A388F5E0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A-078A-44EE-9022-EB23A388F5E0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078A-44EE-9022-EB23A388F5E0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8-078A-44EE-9022-EB23A388F5E0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078A-44EE-9022-EB23A388F5E0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6-078A-44EE-9022-EB23A388F5E0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078A-44EE-9022-EB23A388F5E0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4-078A-44EE-9022-EB23A388F5E0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078A-44EE-9022-EB23A388F5E0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078A-44EE-9022-EB23A388F5E0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078A-44EE-9022-EB23A388F5E0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0-078A-44EE-9022-EB23A388F5E0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078A-44EE-9022-EB23A388F5E0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078A-44EE-9022-EB23A388F5E0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078A-44EE-9022-EB23A388F5E0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E-078A-44EE-9022-EB23A388F5E0}"/>
              </c:ext>
            </c:extLst>
          </c:dPt>
          <c:val>
            <c:numRef>
              <c:f>Fig_futuro_Kaya!$Q$4:$Q$54</c:f>
              <c:numCache>
                <c:formatCode>_(* #,##0.000_);_(* \(#,##0.000\);_(* "-"??_);_(@_)</c:formatCode>
                <c:ptCount val="51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  <c:pt idx="24">
                  <c:v>14.669900320106411</c:v>
                </c:pt>
                <c:pt idx="25">
                  <c:v>14.529069277033388</c:v>
                </c:pt>
                <c:pt idx="26">
                  <c:v>14.389590211973866</c:v>
                </c:pt>
                <c:pt idx="27">
                  <c:v>14.251450145938916</c:v>
                </c:pt>
                <c:pt idx="28">
                  <c:v>14.114636224537902</c:v>
                </c:pt>
                <c:pt idx="29">
                  <c:v>13.979135716782338</c:v>
                </c:pt>
                <c:pt idx="30">
                  <c:v>13.844936013901227</c:v>
                </c:pt>
                <c:pt idx="31">
                  <c:v>13.712024628167775</c:v>
                </c:pt>
                <c:pt idx="32">
                  <c:v>13.580389191737364</c:v>
                </c:pt>
                <c:pt idx="33">
                  <c:v>13.450017455496685</c:v>
                </c:pt>
                <c:pt idx="34">
                  <c:v>13.320897287923916</c:v>
                </c:pt>
                <c:pt idx="35">
                  <c:v>13.193016673959846</c:v>
                </c:pt>
                <c:pt idx="36">
                  <c:v>13.066363713889832</c:v>
                </c:pt>
                <c:pt idx="37">
                  <c:v>12.940926622236489</c:v>
                </c:pt>
                <c:pt idx="38">
                  <c:v>12.816693726663019</c:v>
                </c:pt>
                <c:pt idx="39">
                  <c:v>12.693653466887053</c:v>
                </c:pt>
                <c:pt idx="40">
                  <c:v>12.571794393604936</c:v>
                </c:pt>
                <c:pt idx="41">
                  <c:v>12.451105167426327</c:v>
                </c:pt>
                <c:pt idx="42">
                  <c:v>12.331574557819033</c:v>
                </c:pt>
                <c:pt idx="43">
                  <c:v>12.21319144206397</c:v>
                </c:pt>
                <c:pt idx="44">
                  <c:v>12.095944804220155</c:v>
                </c:pt>
                <c:pt idx="45">
                  <c:v>11.979823734099641</c:v>
                </c:pt>
                <c:pt idx="46">
                  <c:v>11.864817426252284</c:v>
                </c:pt>
                <c:pt idx="47">
                  <c:v>11.750915178960261</c:v>
                </c:pt>
                <c:pt idx="48">
                  <c:v>11.638106393242241</c:v>
                </c:pt>
                <c:pt idx="49">
                  <c:v>11.526380571867115</c:v>
                </c:pt>
                <c:pt idx="50">
                  <c:v>11.41572731837719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B-078A-44EE-9022-EB23A388F5E0}"/>
            </c:ext>
          </c:extLst>
        </c:ser>
        <c:ser>
          <c:idx val="2"/>
          <c:order val="2"/>
          <c:tx>
            <c:strRef>
              <c:f>Fig_futuro_Kaya!$R$3</c:f>
              <c:strCache>
                <c:ptCount val="1"/>
                <c:pt idx="0">
                  <c:v>Projeção Moderada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A-078A-44EE-9022-EB23A388F5E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078A-44EE-9022-EB23A388F5E0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8-078A-44EE-9022-EB23A388F5E0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078A-44EE-9022-EB23A388F5E0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6-078A-44EE-9022-EB23A388F5E0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078A-44EE-9022-EB23A388F5E0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4-078A-44EE-9022-EB23A388F5E0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078A-44EE-9022-EB23A388F5E0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2-078A-44EE-9022-EB23A388F5E0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078A-44EE-9022-EB23A388F5E0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0-078A-44EE-9022-EB23A388F5E0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078A-44EE-9022-EB23A388F5E0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E-078A-44EE-9022-EB23A388F5E0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078A-44EE-9022-EB23A388F5E0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C-078A-44EE-9022-EB23A388F5E0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078A-44EE-9022-EB23A388F5E0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A-078A-44EE-9022-EB23A388F5E0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078A-44EE-9022-EB23A388F5E0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8-078A-44EE-9022-EB23A388F5E0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078A-44EE-9022-EB23A388F5E0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6-078A-44EE-9022-EB23A388F5E0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078A-44EE-9022-EB23A388F5E0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4-078A-44EE-9022-EB23A388F5E0}"/>
              </c:ext>
            </c:extLst>
          </c:dPt>
          <c:val>
            <c:numRef>
              <c:f>Fig_futuro_Kaya!$R$4:$R$54</c:f>
              <c:numCache>
                <c:formatCode>_(* #,##0.000_);_(* \(#,##0.000\);_(* "-"??_);_(@_)</c:formatCode>
                <c:ptCount val="51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  <c:pt idx="24">
                  <c:v>14.66342688536335</c:v>
                </c:pt>
                <c:pt idx="25">
                  <c:v>14.514757324738804</c:v>
                </c:pt>
                <c:pt idx="26">
                  <c:v>14.366087764114258</c:v>
                </c:pt>
                <c:pt idx="27">
                  <c:v>14.217418203489713</c:v>
                </c:pt>
                <c:pt idx="28">
                  <c:v>14.068748642865167</c:v>
                </c:pt>
                <c:pt idx="29">
                  <c:v>13.920079082240621</c:v>
                </c:pt>
                <c:pt idx="30">
                  <c:v>13.771409521616075</c:v>
                </c:pt>
                <c:pt idx="31">
                  <c:v>13.622739960991529</c:v>
                </c:pt>
                <c:pt idx="32">
                  <c:v>13.474070400366983</c:v>
                </c:pt>
                <c:pt idx="33">
                  <c:v>13.325400839742437</c:v>
                </c:pt>
                <c:pt idx="34">
                  <c:v>13.176731279117892</c:v>
                </c:pt>
                <c:pt idx="35">
                  <c:v>13.028061718493346</c:v>
                </c:pt>
                <c:pt idx="36">
                  <c:v>12.8793921578688</c:v>
                </c:pt>
                <c:pt idx="37">
                  <c:v>12.730722597244254</c:v>
                </c:pt>
                <c:pt idx="38">
                  <c:v>12.582053036619708</c:v>
                </c:pt>
                <c:pt idx="39">
                  <c:v>12.433383475995162</c:v>
                </c:pt>
                <c:pt idx="40">
                  <c:v>12.284713915370617</c:v>
                </c:pt>
                <c:pt idx="41">
                  <c:v>12.136044354746071</c:v>
                </c:pt>
                <c:pt idx="42">
                  <c:v>11.987374794121525</c:v>
                </c:pt>
                <c:pt idx="43">
                  <c:v>11.838705233496979</c:v>
                </c:pt>
                <c:pt idx="44">
                  <c:v>11.690035672872433</c:v>
                </c:pt>
                <c:pt idx="45">
                  <c:v>11.541366112247887</c:v>
                </c:pt>
                <c:pt idx="46">
                  <c:v>11.392696551623342</c:v>
                </c:pt>
                <c:pt idx="47">
                  <c:v>11.244026990998796</c:v>
                </c:pt>
                <c:pt idx="48">
                  <c:v>11.09535743037425</c:v>
                </c:pt>
                <c:pt idx="49">
                  <c:v>10.946687869749704</c:v>
                </c:pt>
                <c:pt idx="50">
                  <c:v>10.798018309125176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3-078A-44EE-9022-EB23A388F5E0}"/>
            </c:ext>
          </c:extLst>
        </c:ser>
        <c:ser>
          <c:idx val="3"/>
          <c:order val="3"/>
          <c:tx>
            <c:strRef>
              <c:f>Fig_futuro_Kaya!$S$3</c:f>
              <c:strCache>
                <c:ptCount val="1"/>
                <c:pt idx="0">
                  <c:v>Projeção Acelerada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2-078A-44EE-9022-EB23A388F5E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078A-44EE-9022-EB23A388F5E0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0-078A-44EE-9022-EB23A388F5E0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078A-44EE-9022-EB23A388F5E0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E-078A-44EE-9022-EB23A388F5E0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078A-44EE-9022-EB23A388F5E0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C-078A-44EE-9022-EB23A388F5E0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078A-44EE-9022-EB23A388F5E0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A-078A-44EE-9022-EB23A388F5E0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078A-44EE-9022-EB23A388F5E0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8-078A-44EE-9022-EB23A388F5E0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078A-44EE-9022-EB23A388F5E0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6-078A-44EE-9022-EB23A388F5E0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078A-44EE-9022-EB23A388F5E0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4-078A-44EE-9022-EB23A388F5E0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078A-44EE-9022-EB23A388F5E0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078A-44EE-9022-EB23A388F5E0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078A-44EE-9022-EB23A388F5E0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0-078A-44EE-9022-EB23A388F5E0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078A-44EE-9022-EB23A388F5E0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E-078A-44EE-9022-EB23A388F5E0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078A-44EE-9022-EB23A388F5E0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C-078A-44EE-9022-EB23A388F5E0}"/>
              </c:ext>
            </c:extLst>
          </c:dPt>
          <c:val>
            <c:numRef>
              <c:f>Fig_futuro_Kaya!$S$4:$S$54</c:f>
              <c:numCache>
                <c:formatCode>_(* #,##0.000_);_(* \(#,##0.000\);_(* "-"??_);_(@_)</c:formatCode>
                <c:ptCount val="51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  <c:pt idx="24">
                  <c:v>14.625025153836715</c:v>
                </c:pt>
                <c:pt idx="25">
                  <c:v>14.437953861685534</c:v>
                </c:pt>
                <c:pt idx="26">
                  <c:v>14.250882569534353</c:v>
                </c:pt>
                <c:pt idx="27">
                  <c:v>14.063811277383172</c:v>
                </c:pt>
                <c:pt idx="28">
                  <c:v>13.876739985231991</c:v>
                </c:pt>
                <c:pt idx="29">
                  <c:v>13.68966869308081</c:v>
                </c:pt>
                <c:pt idx="30">
                  <c:v>13.502597400929629</c:v>
                </c:pt>
                <c:pt idx="31">
                  <c:v>13.315526108778448</c:v>
                </c:pt>
                <c:pt idx="32">
                  <c:v>13.128454816627267</c:v>
                </c:pt>
                <c:pt idx="33">
                  <c:v>12.941383524476086</c:v>
                </c:pt>
                <c:pt idx="34">
                  <c:v>12.754312232324905</c:v>
                </c:pt>
                <c:pt idx="35">
                  <c:v>12.567240940173724</c:v>
                </c:pt>
                <c:pt idx="36">
                  <c:v>12.380169648022543</c:v>
                </c:pt>
                <c:pt idx="37">
                  <c:v>12.193098355871362</c:v>
                </c:pt>
                <c:pt idx="38">
                  <c:v>12.006027063720181</c:v>
                </c:pt>
                <c:pt idx="39">
                  <c:v>11.818955771569</c:v>
                </c:pt>
                <c:pt idx="40">
                  <c:v>11.631884479417819</c:v>
                </c:pt>
                <c:pt idx="41">
                  <c:v>11.444813187266638</c:v>
                </c:pt>
                <c:pt idx="42">
                  <c:v>11.257741895115457</c:v>
                </c:pt>
                <c:pt idx="43">
                  <c:v>11.070670602964276</c:v>
                </c:pt>
                <c:pt idx="44">
                  <c:v>10.883599310813095</c:v>
                </c:pt>
                <c:pt idx="45">
                  <c:v>10.696528018661914</c:v>
                </c:pt>
                <c:pt idx="46">
                  <c:v>10.509456726510733</c:v>
                </c:pt>
                <c:pt idx="47">
                  <c:v>10.322385434359552</c:v>
                </c:pt>
                <c:pt idx="48">
                  <c:v>10.135314142208371</c:v>
                </c:pt>
                <c:pt idx="49">
                  <c:v>9.9482428500571896</c:v>
                </c:pt>
                <c:pt idx="50">
                  <c:v>9.7611715579060245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B-078A-44EE-9022-EB23A388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627952"/>
        <c:axId val="728628432"/>
      </c:lineChart>
      <c:lineChart>
        <c:grouping val="standard"/>
        <c:varyColors val="0"/>
        <c:ser>
          <c:idx val="4"/>
          <c:order val="4"/>
          <c:tx>
            <c:v>BAU MJ pkm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Fig_futuro_Kaya!$U$4:$U$54</c:f>
              <c:numCache>
                <c:formatCode>_(* #,##0.000_);_(* \(#,##0.000\);_(* "-"??_);_(@_)</c:formatCode>
                <c:ptCount val="51"/>
                <c:pt idx="0">
                  <c:v>2.3981836259306344</c:v>
                </c:pt>
                <c:pt idx="1">
                  <c:v>2.4989303534527156</c:v>
                </c:pt>
                <c:pt idx="2">
                  <c:v>2.4706956041829455</c:v>
                </c:pt>
                <c:pt idx="3">
                  <c:v>2.1653050204452478</c:v>
                </c:pt>
                <c:pt idx="4">
                  <c:v>2.0090656913693619</c:v>
                </c:pt>
                <c:pt idx="5">
                  <c:v>1.893235501493953</c:v>
                </c:pt>
                <c:pt idx="6">
                  <c:v>1.838920966389882</c:v>
                </c:pt>
                <c:pt idx="7">
                  <c:v>1.8743780354672128</c:v>
                </c:pt>
                <c:pt idx="8">
                  <c:v>1.946799617735903</c:v>
                </c:pt>
                <c:pt idx="9">
                  <c:v>1.8883022487131862</c:v>
                </c:pt>
                <c:pt idx="10">
                  <c:v>1.744390847713674</c:v>
                </c:pt>
                <c:pt idx="11">
                  <c:v>1.6699677247102473</c:v>
                </c:pt>
                <c:pt idx="12">
                  <c:v>1.6710092628770161</c:v>
                </c:pt>
                <c:pt idx="13">
                  <c:v>1.6088142359940705</c:v>
                </c:pt>
                <c:pt idx="14">
                  <c:v>1.5472893619505879</c:v>
                </c:pt>
                <c:pt idx="15">
                  <c:v>1.4918136750640261</c:v>
                </c:pt>
                <c:pt idx="16">
                  <c:v>1.457097299332504</c:v>
                </c:pt>
                <c:pt idx="17">
                  <c:v>1.3910654463241039</c:v>
                </c:pt>
                <c:pt idx="18">
                  <c:v>1.3634744533088945</c:v>
                </c:pt>
                <c:pt idx="19">
                  <c:v>1.3459547989863381</c:v>
                </c:pt>
                <c:pt idx="20">
                  <c:v>1.4336063123226273</c:v>
                </c:pt>
                <c:pt idx="21">
                  <c:v>1.3779307105680929</c:v>
                </c:pt>
                <c:pt idx="22">
                  <c:v>1.3235534484341756</c:v>
                </c:pt>
                <c:pt idx="23">
                  <c:v>1.3330886801389106</c:v>
                </c:pt>
                <c:pt idx="24">
                  <c:v>1.320291028809577</c:v>
                </c:pt>
                <c:pt idx="25">
                  <c:v>1.3076162349330049</c:v>
                </c:pt>
                <c:pt idx="26">
                  <c:v>1.295063119077648</c:v>
                </c:pt>
                <c:pt idx="27">
                  <c:v>1.2826305131345026</c:v>
                </c:pt>
                <c:pt idx="28">
                  <c:v>1.2703172602084114</c:v>
                </c:pt>
                <c:pt idx="29">
                  <c:v>1.2581222145104105</c:v>
                </c:pt>
                <c:pt idx="30">
                  <c:v>1.2460442412511106</c:v>
                </c:pt>
                <c:pt idx="31">
                  <c:v>1.2340822165350998</c:v>
                </c:pt>
                <c:pt idx="32">
                  <c:v>1.2222350272563627</c:v>
                </c:pt>
                <c:pt idx="33">
                  <c:v>1.2105015709947016</c:v>
                </c:pt>
                <c:pt idx="34">
                  <c:v>1.1988807559131525</c:v>
                </c:pt>
                <c:pt idx="35">
                  <c:v>1.1873715006563861</c:v>
                </c:pt>
                <c:pt idx="36">
                  <c:v>1.1759727342500848</c:v>
                </c:pt>
                <c:pt idx="37">
                  <c:v>1.1646833960012839</c:v>
                </c:pt>
                <c:pt idx="38">
                  <c:v>1.1535024353996715</c:v>
                </c:pt>
                <c:pt idx="39">
                  <c:v>1.1424288120198345</c:v>
                </c:pt>
                <c:pt idx="40">
                  <c:v>1.131461495424444</c:v>
                </c:pt>
                <c:pt idx="41">
                  <c:v>1.1205994650683693</c:v>
                </c:pt>
                <c:pt idx="42">
                  <c:v>1.1098417102037128</c:v>
                </c:pt>
                <c:pt idx="43">
                  <c:v>1.099187229785757</c:v>
                </c:pt>
                <c:pt idx="44">
                  <c:v>1.0886350323798137</c:v>
                </c:pt>
                <c:pt idx="45">
                  <c:v>1.0781841360689675</c:v>
                </c:pt>
                <c:pt idx="46">
                  <c:v>1.0678335683627054</c:v>
                </c:pt>
                <c:pt idx="47">
                  <c:v>1.0575823661064234</c:v>
                </c:pt>
                <c:pt idx="48">
                  <c:v>1.0474295753918017</c:v>
                </c:pt>
                <c:pt idx="49">
                  <c:v>1.0373742514680404</c:v>
                </c:pt>
                <c:pt idx="50">
                  <c:v>1.0274154586539472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13-078A-44EE-9022-EB23A388F5E0}"/>
            </c:ext>
          </c:extLst>
        </c:ser>
        <c:ser>
          <c:idx val="5"/>
          <c:order val="5"/>
          <c:tx>
            <c:v>Moderada pkm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Fig_futuro_Kaya!$V$4:$V$54</c:f>
              <c:numCache>
                <c:formatCode>_(* #,##0.000_);_(* \(#,##0.000\);_(* "-"??_);_(@_)</c:formatCode>
                <c:ptCount val="51"/>
                <c:pt idx="0">
                  <c:v>2.3981836259306344</c:v>
                </c:pt>
                <c:pt idx="1">
                  <c:v>2.4989303534527156</c:v>
                </c:pt>
                <c:pt idx="2">
                  <c:v>2.4706956041829455</c:v>
                </c:pt>
                <c:pt idx="3">
                  <c:v>2.1653050204452478</c:v>
                </c:pt>
                <c:pt idx="4">
                  <c:v>2.0090656913693619</c:v>
                </c:pt>
                <c:pt idx="5">
                  <c:v>1.893235501493953</c:v>
                </c:pt>
                <c:pt idx="6">
                  <c:v>1.838920966389882</c:v>
                </c:pt>
                <c:pt idx="7">
                  <c:v>1.8743780354672128</c:v>
                </c:pt>
                <c:pt idx="8">
                  <c:v>1.946799617735903</c:v>
                </c:pt>
                <c:pt idx="9">
                  <c:v>1.8883022487131862</c:v>
                </c:pt>
                <c:pt idx="10">
                  <c:v>1.744390847713674</c:v>
                </c:pt>
                <c:pt idx="11">
                  <c:v>1.6699677247102473</c:v>
                </c:pt>
                <c:pt idx="12">
                  <c:v>1.6710092628770161</c:v>
                </c:pt>
                <c:pt idx="13">
                  <c:v>1.6088142359940705</c:v>
                </c:pt>
                <c:pt idx="14">
                  <c:v>1.5472893619505879</c:v>
                </c:pt>
                <c:pt idx="15">
                  <c:v>1.4918136750640261</c:v>
                </c:pt>
                <c:pt idx="16">
                  <c:v>1.457097299332504</c:v>
                </c:pt>
                <c:pt idx="17">
                  <c:v>1.3910654463241039</c:v>
                </c:pt>
                <c:pt idx="18">
                  <c:v>1.3634744533088945</c:v>
                </c:pt>
                <c:pt idx="19">
                  <c:v>1.3459547989863381</c:v>
                </c:pt>
                <c:pt idx="20">
                  <c:v>1.4336063123226273</c:v>
                </c:pt>
                <c:pt idx="21">
                  <c:v>1.3779307105680929</c:v>
                </c:pt>
                <c:pt idx="22">
                  <c:v>1.3235534484341756</c:v>
                </c:pt>
                <c:pt idx="23">
                  <c:v>1.3330886801389106</c:v>
                </c:pt>
                <c:pt idx="24">
                  <c:v>1.3197577933375215</c:v>
                </c:pt>
                <c:pt idx="25">
                  <c:v>1.3064269065361325</c:v>
                </c:pt>
                <c:pt idx="26">
                  <c:v>1.2930960197347434</c:v>
                </c:pt>
                <c:pt idx="27">
                  <c:v>1.2797651329333544</c:v>
                </c:pt>
                <c:pt idx="28">
                  <c:v>1.2664342461319653</c:v>
                </c:pt>
                <c:pt idx="29">
                  <c:v>1.2531033593305763</c:v>
                </c:pt>
                <c:pt idx="30">
                  <c:v>1.2397724725291872</c:v>
                </c:pt>
                <c:pt idx="31">
                  <c:v>1.2264415857277982</c:v>
                </c:pt>
                <c:pt idx="32">
                  <c:v>1.2131106989264091</c:v>
                </c:pt>
                <c:pt idx="33">
                  <c:v>1.1997798121250201</c:v>
                </c:pt>
                <c:pt idx="34">
                  <c:v>1.186448925323631</c:v>
                </c:pt>
                <c:pt idx="35">
                  <c:v>1.1731180385222419</c:v>
                </c:pt>
                <c:pt idx="36">
                  <c:v>1.1597871517208529</c:v>
                </c:pt>
                <c:pt idx="37">
                  <c:v>1.1464562649194638</c:v>
                </c:pt>
                <c:pt idx="38">
                  <c:v>1.1331253781180748</c:v>
                </c:pt>
                <c:pt idx="39">
                  <c:v>1.1197944913166857</c:v>
                </c:pt>
                <c:pt idx="40">
                  <c:v>1.1064636045152967</c:v>
                </c:pt>
                <c:pt idx="41">
                  <c:v>1.0931327177139076</c:v>
                </c:pt>
                <c:pt idx="42">
                  <c:v>1.0798018309125186</c:v>
                </c:pt>
                <c:pt idx="43">
                  <c:v>1.0664709441111295</c:v>
                </c:pt>
                <c:pt idx="44">
                  <c:v>1.0531400573097405</c:v>
                </c:pt>
                <c:pt idx="45">
                  <c:v>1.0398091705083514</c:v>
                </c:pt>
                <c:pt idx="46">
                  <c:v>1.0264782837069624</c:v>
                </c:pt>
                <c:pt idx="47">
                  <c:v>1.0131473969055733</c:v>
                </c:pt>
                <c:pt idx="48">
                  <c:v>0.99981651010418426</c:v>
                </c:pt>
                <c:pt idx="49">
                  <c:v>0.98648562330279521</c:v>
                </c:pt>
                <c:pt idx="50">
                  <c:v>0.97315473650140472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14-078A-44EE-9022-EB23A388F5E0}"/>
            </c:ext>
          </c:extLst>
        </c:ser>
        <c:ser>
          <c:idx val="6"/>
          <c:order val="6"/>
          <c:tx>
            <c:v>Ambiciosa pkm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Fig_futuro_Kaya!$W$4:$W$54</c:f>
              <c:numCache>
                <c:formatCode>_(* #,##0.000_);_(* \(#,##0.000\);_(* "-"??_);_(@_)</c:formatCode>
                <c:ptCount val="51"/>
                <c:pt idx="0">
                  <c:v>2.3981836259306344</c:v>
                </c:pt>
                <c:pt idx="1">
                  <c:v>2.4989303534527156</c:v>
                </c:pt>
                <c:pt idx="2">
                  <c:v>2.4706956041829455</c:v>
                </c:pt>
                <c:pt idx="3">
                  <c:v>2.1653050204452478</c:v>
                </c:pt>
                <c:pt idx="4">
                  <c:v>2.0090656913693619</c:v>
                </c:pt>
                <c:pt idx="5">
                  <c:v>1.893235501493953</c:v>
                </c:pt>
                <c:pt idx="6">
                  <c:v>1.838920966389882</c:v>
                </c:pt>
                <c:pt idx="7">
                  <c:v>1.8743780354672128</c:v>
                </c:pt>
                <c:pt idx="8">
                  <c:v>1.946799617735903</c:v>
                </c:pt>
                <c:pt idx="9">
                  <c:v>1.8883022487131862</c:v>
                </c:pt>
                <c:pt idx="10">
                  <c:v>1.744390847713674</c:v>
                </c:pt>
                <c:pt idx="11">
                  <c:v>1.6699677247102473</c:v>
                </c:pt>
                <c:pt idx="12">
                  <c:v>1.6710092628770161</c:v>
                </c:pt>
                <c:pt idx="13">
                  <c:v>1.6088142359940705</c:v>
                </c:pt>
                <c:pt idx="14">
                  <c:v>1.5472893619505879</c:v>
                </c:pt>
                <c:pt idx="15">
                  <c:v>1.4918136750640261</c:v>
                </c:pt>
                <c:pt idx="16">
                  <c:v>1.457097299332504</c:v>
                </c:pt>
                <c:pt idx="17">
                  <c:v>1.3910654463241039</c:v>
                </c:pt>
                <c:pt idx="18">
                  <c:v>1.3634744533088945</c:v>
                </c:pt>
                <c:pt idx="19">
                  <c:v>1.3459547989863381</c:v>
                </c:pt>
                <c:pt idx="20">
                  <c:v>1.4336063123226273</c:v>
                </c:pt>
                <c:pt idx="21">
                  <c:v>1.3779307105680929</c:v>
                </c:pt>
                <c:pt idx="22">
                  <c:v>1.3235534484341756</c:v>
                </c:pt>
                <c:pt idx="23">
                  <c:v>1.3330886801389106</c:v>
                </c:pt>
                <c:pt idx="24">
                  <c:v>1.3162522638453042</c:v>
                </c:pt>
                <c:pt idx="25">
                  <c:v>1.2994158475516979</c:v>
                </c:pt>
                <c:pt idx="26">
                  <c:v>1.2825794312580916</c:v>
                </c:pt>
                <c:pt idx="27">
                  <c:v>1.2657430149644853</c:v>
                </c:pt>
                <c:pt idx="28">
                  <c:v>1.2489065986708789</c:v>
                </c:pt>
                <c:pt idx="29">
                  <c:v>1.2320701823772726</c:v>
                </c:pt>
                <c:pt idx="30">
                  <c:v>1.2152337660836663</c:v>
                </c:pt>
                <c:pt idx="31">
                  <c:v>1.19839734979006</c:v>
                </c:pt>
                <c:pt idx="32">
                  <c:v>1.1815609334964536</c:v>
                </c:pt>
                <c:pt idx="33">
                  <c:v>1.1647245172028473</c:v>
                </c:pt>
                <c:pt idx="34">
                  <c:v>1.147888100909241</c:v>
                </c:pt>
                <c:pt idx="35">
                  <c:v>1.1310516846156347</c:v>
                </c:pt>
                <c:pt idx="36">
                  <c:v>1.1142152683220283</c:v>
                </c:pt>
                <c:pt idx="37">
                  <c:v>1.097378852028422</c:v>
                </c:pt>
                <c:pt idx="38">
                  <c:v>1.0805424357348157</c:v>
                </c:pt>
                <c:pt idx="39">
                  <c:v>1.0637060194412093</c:v>
                </c:pt>
                <c:pt idx="40">
                  <c:v>1.046869603147603</c:v>
                </c:pt>
                <c:pt idx="41">
                  <c:v>1.0300331868539967</c:v>
                </c:pt>
                <c:pt idx="42">
                  <c:v>1.0131967705603904</c:v>
                </c:pt>
                <c:pt idx="43">
                  <c:v>0.99636035426678415</c:v>
                </c:pt>
                <c:pt idx="44">
                  <c:v>0.97952393797317794</c:v>
                </c:pt>
                <c:pt idx="45">
                  <c:v>0.96268752167957172</c:v>
                </c:pt>
                <c:pt idx="46">
                  <c:v>0.94585110538596551</c:v>
                </c:pt>
                <c:pt idx="47">
                  <c:v>0.92901468909235929</c:v>
                </c:pt>
                <c:pt idx="48">
                  <c:v>0.91217827279875308</c:v>
                </c:pt>
                <c:pt idx="49">
                  <c:v>0.89534185650514686</c:v>
                </c:pt>
                <c:pt idx="50">
                  <c:v>0.87850544021154209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15-078A-44EE-9022-EB23A388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34112"/>
        <c:axId val="2076153792"/>
      </c:lineChart>
      <c:catAx>
        <c:axId val="72862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8432"/>
        <c:crossesAt val="0"/>
        <c:auto val="1"/>
        <c:lblAlgn val="ctr"/>
        <c:lblOffset val="100"/>
        <c:tickLblSkip val="10"/>
        <c:tickMarkSkip val="10"/>
        <c:noMultiLvlLbl val="0"/>
      </c:catAx>
      <c:valAx>
        <c:axId val="728628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MJ</a:t>
                </a:r>
                <a:r>
                  <a:rPr lang="pt-BR" sz="1200" baseline="0">
                    <a:solidFill>
                      <a:sysClr val="windowText" lastClr="000000"/>
                    </a:solidFill>
                  </a:rPr>
                  <a:t> </a:t>
                </a:r>
                <a14:m xmlns:a14="http://schemas.microsoft.com/office/drawing/2010/main">
                  <m:oMath xmlns:m="http://schemas.openxmlformats.org/officeDocument/2006/math">
                    <m:r>
                      <a:rPr lang="pt-BR" sz="120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𝑡𝑘</m:t>
                    </m:r>
                    <m:sSubSup>
                      <m:sSubSupPr>
                        <m:ctrlP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  <m:sup>
                        <m: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bSup>
                  </m:oMath>
                </a14:m>
                <a:endParaRPr lang="pt-BR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3953488372093023E-2"/>
              <c:y val="0.447126207522736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7952"/>
        <c:crosses val="autoZero"/>
        <c:crossBetween val="between"/>
      </c:valAx>
      <c:valAx>
        <c:axId val="20761537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i="0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MJ </a:t>
                </a:r>
                <a14:m xmlns:a14="http://schemas.microsoft.com/office/drawing/2010/main">
                  <m:oMath xmlns:m="http://schemas.openxmlformats.org/officeDocument/2006/math">
                    <m:r>
                      <a:rPr lang="pt-BR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𝑝𝑘</m:t>
                    </m:r>
                    <m:sSubSup>
                      <m:sSubSupPr>
                        <m:ctrlPr>
                          <a:rPr lang="pt-BR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pt-BR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  <m:sup>
                        <m:r>
                          <a:rPr lang="pt-BR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bSup>
                  </m:oMath>
                </a14:m>
                <a:endParaRPr lang="pt-BR" sz="1100" i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2076134112"/>
        <c:crosses val="max"/>
        <c:crossBetween val="between"/>
      </c:valAx>
      <c:catAx>
        <c:axId val="2076134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0761537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85640165098518E-2"/>
          <c:y val="3.2673575152092425E-2"/>
          <c:w val="0.9041961405533695"/>
          <c:h val="0.7754983017063285"/>
        </c:manualLayout>
      </c:layout>
      <c:lineChart>
        <c:grouping val="standard"/>
        <c:varyColors val="0"/>
        <c:ser>
          <c:idx val="1"/>
          <c:order val="0"/>
          <c:tx>
            <c:strRef>
              <c:f>'Potencial energético'!$B$2:$D$2</c:f>
              <c:strCache>
                <c:ptCount val="1"/>
                <c:pt idx="0">
                  <c:v>BAU-BAU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energético'!$D$4:$D$54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 formatCode="0.00E+00">
                  <c:v>269074462015.37134</c:v>
                </c:pt>
                <c:pt idx="25" formatCode="0.00E+00">
                  <c:v>274573344097.76004</c:v>
                </c:pt>
                <c:pt idx="26" formatCode="0.00E+00">
                  <c:v>280184602895.2392</c:v>
                </c:pt>
                <c:pt idx="27" formatCode="0.00E+00">
                  <c:v>285910534970.25635</c:v>
                </c:pt>
                <c:pt idx="28" formatCode="0.00E+00">
                  <c:v>291753483818.46136</c:v>
                </c:pt>
                <c:pt idx="29" formatCode="0.00E+00">
                  <c:v>297715840827.84619</c:v>
                </c:pt>
                <c:pt idx="30" formatCode="0.00E+00">
                  <c:v>303800046257.48669</c:v>
                </c:pt>
                <c:pt idx="31" formatCode="0.00E+00">
                  <c:v>310008590236.28577</c:v>
                </c:pt>
                <c:pt idx="32" formatCode="0.00E+00">
                  <c:v>316344013782.12756</c:v>
                </c:pt>
                <c:pt idx="33" formatCode="0.00E+00">
                  <c:v>322808909841.8587</c:v>
                </c:pt>
                <c:pt idx="34" formatCode="0.00E+00">
                  <c:v>329405924352.52386</c:v>
                </c:pt>
                <c:pt idx="35" formatCode="0.00E+00">
                  <c:v>336137757324.28796</c:v>
                </c:pt>
                <c:pt idx="36" formatCode="0.00E+00">
                  <c:v>343007163945.4903</c:v>
                </c:pt>
                <c:pt idx="37" formatCode="0.00E+00">
                  <c:v>350016955710.28082</c:v>
                </c:pt>
                <c:pt idx="38" formatCode="0.00E+00">
                  <c:v>357170001569.30237</c:v>
                </c:pt>
                <c:pt idx="39" formatCode="0.00E+00">
                  <c:v>364469229103.88715</c:v>
                </c:pt>
                <c:pt idx="40" formatCode="0.00E+00">
                  <c:v>371917625724.25043</c:v>
                </c:pt>
                <c:pt idx="41" formatCode="0.00E+00">
                  <c:v>379518239892.17084</c:v>
                </c:pt>
                <c:pt idx="42" formatCode="0.00E+00">
                  <c:v>387274182368.65717</c:v>
                </c:pt>
                <c:pt idx="43" formatCode="0.00E+00">
                  <c:v>395188627487.11316</c:v>
                </c:pt>
                <c:pt idx="44" formatCode="0.00E+00">
                  <c:v>403264814452.52087</c:v>
                </c:pt>
                <c:pt idx="45" formatCode="0.00E+00">
                  <c:v>411506048667.17517</c:v>
                </c:pt>
                <c:pt idx="46" formatCode="0.00E+00">
                  <c:v>419915703083.51007</c:v>
                </c:pt>
                <c:pt idx="47" formatCode="0.00E+00">
                  <c:v>428497219584.57294</c:v>
                </c:pt>
                <c:pt idx="48" formatCode="0.00E+00">
                  <c:v>437254110392.71051</c:v>
                </c:pt>
                <c:pt idx="49" formatCode="0.00E+00">
                  <c:v>446189959507.04187</c:v>
                </c:pt>
                <c:pt idx="50" formatCode="0.00E+00">
                  <c:v>455308424170.30988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2-4D96-A158-EBE2996F8176}"/>
            </c:ext>
          </c:extLst>
        </c:ser>
        <c:ser>
          <c:idx val="2"/>
          <c:order val="1"/>
          <c:tx>
            <c:strRef>
              <c:f>'Potencial energético'!$F$2:$H$2</c:f>
              <c:strCache>
                <c:ptCount val="1"/>
                <c:pt idx="0">
                  <c:v>BAU-Moderada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energético'!$H$4:$H$54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268955726650.2446</c:v>
                </c:pt>
                <c:pt idx="25">
                  <c:v>274302873875.1214</c:v>
                </c:pt>
                <c:pt idx="26">
                  <c:v>279726978743.08435</c:v>
                </c:pt>
                <c:pt idx="27">
                  <c:v>285227791054.92914</c:v>
                </c:pt>
                <c:pt idx="28">
                  <c:v>290804974653.6449</c:v>
                </c:pt>
                <c:pt idx="29">
                  <c:v>296458102440.77679</c:v>
                </c:pt>
                <c:pt idx="30">
                  <c:v>302186651169.56775</c:v>
                </c:pt>
                <c:pt idx="31">
                  <c:v>307989996005.92212</c:v>
                </c:pt>
                <c:pt idx="32">
                  <c:v>313867404847.89801</c:v>
                </c:pt>
                <c:pt idx="33">
                  <c:v>319818032394.08484</c:v>
                </c:pt>
                <c:pt idx="34">
                  <c:v>325840913950.85864</c:v>
                </c:pt>
                <c:pt idx="35">
                  <c:v>331934958968.13348</c:v>
                </c:pt>
                <c:pt idx="36">
                  <c:v>338098944292.83551</c:v>
                </c:pt>
                <c:pt idx="37">
                  <c:v>344331507128.92456</c:v>
                </c:pt>
                <c:pt idx="38">
                  <c:v>350631137692.36932</c:v>
                </c:pt>
                <c:pt idx="39">
                  <c:v>356996171549.047</c:v>
                </c:pt>
                <c:pt idx="40">
                  <c:v>363424781623.09308</c:v>
                </c:pt>
                <c:pt idx="41">
                  <c:v>369914969862.75836</c:v>
                </c:pt>
                <c:pt idx="42">
                  <c:v>376464558550.34949</c:v>
                </c:pt>
                <c:pt idx="43">
                  <c:v>383071181242.33118</c:v>
                </c:pt>
                <c:pt idx="44">
                  <c:v>389732273325.14954</c:v>
                </c:pt>
                <c:pt idx="45">
                  <c:v>396445062171.80231</c:v>
                </c:pt>
                <c:pt idx="46">
                  <c:v>403206556883.62329</c:v>
                </c:pt>
                <c:pt idx="47">
                  <c:v>410013537601.17798</c:v>
                </c:pt>
                <c:pt idx="48">
                  <c:v>416862544367.56995</c:v>
                </c:pt>
                <c:pt idx="49">
                  <c:v>423749865526.83795</c:v>
                </c:pt>
                <c:pt idx="50">
                  <c:v>430671525639.49255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D2-4D96-A158-EBE2996F8176}"/>
            </c:ext>
          </c:extLst>
        </c:ser>
        <c:ser>
          <c:idx val="3"/>
          <c:order val="2"/>
          <c:tx>
            <c:strRef>
              <c:f>'Potencial energético'!$J$2:$L$2</c:f>
              <c:strCache>
                <c:ptCount val="1"/>
                <c:pt idx="0">
                  <c:v>BAU-Acelerada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energético'!$L$4:$L$54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268251364314.74695</c:v>
                </c:pt>
                <c:pt idx="25">
                  <c:v>272851426209.2919</c:v>
                </c:pt>
                <c:pt idx="26">
                  <c:v>277483779234.3186</c:v>
                </c:pt>
                <c:pt idx="27">
                  <c:v>282146151083.66119</c:v>
                </c:pt>
                <c:pt idx="28">
                  <c:v>286836101924.89563</c:v>
                </c:pt>
                <c:pt idx="29">
                  <c:v>291551016328.01862</c:v>
                </c:pt>
                <c:pt idx="30">
                  <c:v>296288094858.64526</c:v>
                </c:pt>
                <c:pt idx="31">
                  <c:v>301044345322.79889</c:v>
                </c:pt>
                <c:pt idx="32">
                  <c:v>305816573649.89404</c:v>
                </c:pt>
                <c:pt idx="33">
                  <c:v>310601374400.01898</c:v>
                </c:pt>
                <c:pt idx="34">
                  <c:v>315395120881.11548</c:v>
                </c:pt>
                <c:pt idx="35">
                  <c:v>320193954861.12524</c:v>
                </c:pt>
                <c:pt idx="36">
                  <c:v>324993775859.62512</c:v>
                </c:pt>
                <c:pt idx="37">
                  <c:v>329790230002.90778</c:v>
                </c:pt>
                <c:pt idx="38">
                  <c:v>334578698425.87762</c:v>
                </c:pt>
                <c:pt idx="39">
                  <c:v>339354285203.52405</c:v>
                </c:pt>
                <c:pt idx="40">
                  <c:v>344111804794.10724</c:v>
                </c:pt>
                <c:pt idx="41">
                  <c:v>348845768975.53864</c:v>
                </c:pt>
                <c:pt idx="42">
                  <c:v>353550373255.76508</c:v>
                </c:pt>
                <c:pt idx="43">
                  <c:v>358219482737.26801</c:v>
                </c:pt>
                <c:pt idx="44">
                  <c:v>362846617415.06604</c:v>
                </c:pt>
                <c:pt idx="45">
                  <c:v>367424936886.862</c:v>
                </c:pt>
                <c:pt idx="46">
                  <c:v>371947224453.19843</c:v>
                </c:pt>
                <c:pt idx="47">
                  <c:v>376405870584.68805</c:v>
                </c:pt>
                <c:pt idx="48">
                  <c:v>380792855732.55157</c:v>
                </c:pt>
                <c:pt idx="49">
                  <c:v>385099732457.83704</c:v>
                </c:pt>
                <c:pt idx="50">
                  <c:v>389317606853.80743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D2-4D96-A158-EBE2996F8176}"/>
            </c:ext>
          </c:extLst>
        </c:ser>
        <c:ser>
          <c:idx val="4"/>
          <c:order val="3"/>
          <c:tx>
            <c:strRef>
              <c:f>'Potencial energético'!$N$2:$P$2</c:f>
              <c:strCache>
                <c:ptCount val="1"/>
                <c:pt idx="0">
                  <c:v>Moderada-BAU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energético'!$P$4:$P$54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269480831212.9664</c:v>
                </c:pt>
                <c:pt idx="25">
                  <c:v>277381821278.33771</c:v>
                </c:pt>
                <c:pt idx="26">
                  <c:v>285514462863.15839</c:v>
                </c:pt>
                <c:pt idx="27">
                  <c:v>293885547828.4519</c:v>
                </c:pt>
                <c:pt idx="28">
                  <c:v>302502067167.86926</c:v>
                </c:pt>
                <c:pt idx="29">
                  <c:v>311371216846.12152</c:v>
                </c:pt>
                <c:pt idx="30">
                  <c:v>320500403808.58698</c:v>
                </c:pt>
                <c:pt idx="31">
                  <c:v>329897252167.1181</c:v>
                </c:pt>
                <c:pt idx="32">
                  <c:v>339569609567.21021</c:v>
                </c:pt>
                <c:pt idx="33">
                  <c:v>349525553741.85327</c:v>
                </c:pt>
                <c:pt idx="34">
                  <c:v>359773399257.5343</c:v>
                </c:pt>
                <c:pt idx="35">
                  <c:v>370321704458.03381</c:v>
                </c:pt>
                <c:pt idx="36">
                  <c:v>381179278611.80286</c:v>
                </c:pt>
                <c:pt idx="37">
                  <c:v>392355189268.90338</c:v>
                </c:pt>
                <c:pt idx="38">
                  <c:v>403858769833.63971</c:v>
                </c:pt>
                <c:pt idx="39">
                  <c:v>415699627359.22369</c:v>
                </c:pt>
                <c:pt idx="40">
                  <c:v>427887650570.96802</c:v>
                </c:pt>
                <c:pt idx="41">
                  <c:v>440433018124.71631</c:v>
                </c:pt>
                <c:pt idx="42">
                  <c:v>453346207107.40436</c:v>
                </c:pt>
                <c:pt idx="43">
                  <c:v>466638001786.85187</c:v>
                </c:pt>
                <c:pt idx="44">
                  <c:v>480319502618.08881</c:v>
                </c:pt>
                <c:pt idx="45">
                  <c:v>494402135513.74847</c:v>
                </c:pt>
                <c:pt idx="46">
                  <c:v>508897661386.25629</c:v>
                </c:pt>
                <c:pt idx="47">
                  <c:v>523818185969.7876</c:v>
                </c:pt>
                <c:pt idx="48">
                  <c:v>539176169930.20282</c:v>
                </c:pt>
                <c:pt idx="49">
                  <c:v>554984439271.39709</c:v>
                </c:pt>
                <c:pt idx="50">
                  <c:v>571256196046.75635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D2-4D96-A158-EBE2996F8176}"/>
            </c:ext>
          </c:extLst>
        </c:ser>
        <c:ser>
          <c:idx val="5"/>
          <c:order val="4"/>
          <c:tx>
            <c:strRef>
              <c:f>'Potencial energético'!$R$2:$T$2</c:f>
              <c:strCache>
                <c:ptCount val="1"/>
                <c:pt idx="0">
                  <c:v>Moderada-Moderada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energético'!$T$4:$T$54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269361916527.97894</c:v>
                </c:pt>
                <c:pt idx="25">
                  <c:v>277108584547.35211</c:v>
                </c:pt>
                <c:pt idx="26">
                  <c:v>285048133476.58411</c:v>
                </c:pt>
                <c:pt idx="27">
                  <c:v>293183759873.68713</c:v>
                </c:pt>
                <c:pt idx="28">
                  <c:v>301518613673.74341</c:v>
                </c:pt>
                <c:pt idx="29">
                  <c:v>310055789588.48242</c:v>
                </c:pt>
                <c:pt idx="30">
                  <c:v>318798317901.9162</c:v>
                </c:pt>
                <c:pt idx="31">
                  <c:v>327749154627.85376</c:v>
                </c:pt>
                <c:pt idx="32">
                  <c:v>336911170993.35376</c:v>
                </c:pt>
                <c:pt idx="33">
                  <c:v>346287142210.33972</c:v>
                </c:pt>
                <c:pt idx="34">
                  <c:v>355879735495.66779</c:v>
                </c:pt>
                <c:pt idx="35">
                  <c:v>365691497297.92883</c:v>
                </c:pt>
                <c:pt idx="36">
                  <c:v>375724839687.12622</c:v>
                </c:pt>
                <c:pt idx="37">
                  <c:v>385982025861.1767</c:v>
                </c:pt>
                <c:pt idx="38">
                  <c:v>396465154720.82233</c:v>
                </c:pt>
                <c:pt idx="39">
                  <c:v>407176144462.13776</c:v>
                </c:pt>
                <c:pt idx="40">
                  <c:v>418116715133.22662</c:v>
                </c:pt>
                <c:pt idx="41">
                  <c:v>429288370099.04443</c:v>
                </c:pt>
                <c:pt idx="42">
                  <c:v>440692376355.46771</c:v>
                </c:pt>
                <c:pt idx="43">
                  <c:v>452329743630.79181</c:v>
                </c:pt>
                <c:pt idx="44">
                  <c:v>464201202209.75226</c:v>
                </c:pt>
                <c:pt idx="45">
                  <c:v>476307179411.95245</c:v>
                </c:pt>
                <c:pt idx="46">
                  <c:v>488647774653.17462</c:v>
                </c:pt>
                <c:pt idx="47">
                  <c:v>501222733014.52423</c:v>
                </c:pt>
                <c:pt idx="48">
                  <c:v>514031417240.65222</c:v>
                </c:pt>
                <c:pt idx="49">
                  <c:v>527072778084.39905</c:v>
                </c:pt>
                <c:pt idx="50">
                  <c:v>540345322911.14264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D2-4D96-A158-EBE2996F8176}"/>
            </c:ext>
          </c:extLst>
        </c:ser>
        <c:ser>
          <c:idx val="6"/>
          <c:order val="5"/>
          <c:tx>
            <c:strRef>
              <c:f>'Potencial energético'!$V$2:$X$2</c:f>
              <c:strCache>
                <c:ptCount val="1"/>
                <c:pt idx="0">
                  <c:v>Moderada-Acelerada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energético'!$X$4:$X$54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268656490430.59564</c:v>
                </c:pt>
                <c:pt idx="25">
                  <c:v>275642290729.35266</c:v>
                </c:pt>
                <c:pt idx="26">
                  <c:v>282762262317.99078</c:v>
                </c:pt>
                <c:pt idx="27">
                  <c:v>290016162529.78247</c:v>
                </c:pt>
                <c:pt idx="28">
                  <c:v>297403522436.23865</c:v>
                </c:pt>
                <c:pt idx="29">
                  <c:v>304923629439.22882</c:v>
                </c:pt>
                <c:pt idx="30">
                  <c:v>312575508844.35577</c:v>
                </c:pt>
                <c:pt idx="31">
                  <c:v>320357904362.40601</c:v>
                </c:pt>
                <c:pt idx="32">
                  <c:v>328269257483.08087</c:v>
                </c:pt>
                <c:pt idx="33">
                  <c:v>336307685662.49133</c:v>
                </c:pt>
                <c:pt idx="34">
                  <c:v>344470959263.03265</c:v>
                </c:pt>
                <c:pt idx="35">
                  <c:v>352756477181.27649</c:v>
                </c:pt>
                <c:pt idx="36">
                  <c:v>361161241096.36572</c:v>
                </c:pt>
                <c:pt idx="37">
                  <c:v>369681828268.14246</c:v>
                </c:pt>
                <c:pt idx="38">
                  <c:v>378314362810.7782</c:v>
                </c:pt>
                <c:pt idx="39">
                  <c:v>387054485364.11475</c:v>
                </c:pt>
                <c:pt idx="40">
                  <c:v>395897321081.13275</c:v>
                </c:pt>
                <c:pt idx="41">
                  <c:v>404837445846.04761</c:v>
                </c:pt>
                <c:pt idx="42">
                  <c:v>413868850633.40594</c:v>
                </c:pt>
                <c:pt idx="43">
                  <c:v>422984903914.24371</c:v>
                </c:pt>
                <c:pt idx="44">
                  <c:v>432178312010.85345</c:v>
                </c:pt>
                <c:pt idx="45">
                  <c:v>441441077296.99829</c:v>
                </c:pt>
                <c:pt idx="46">
                  <c:v>450764454135.44891</c:v>
                </c:pt>
                <c:pt idx="47">
                  <c:v>460138902439.56329</c:v>
                </c:pt>
                <c:pt idx="48">
                  <c:v>469554038740.22504</c:v>
                </c:pt>
                <c:pt idx="49">
                  <c:v>478998584633.78235</c:v>
                </c:pt>
                <c:pt idx="50">
                  <c:v>488460312480.71753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D2-4D96-A158-EBE2996F8176}"/>
            </c:ext>
          </c:extLst>
        </c:ser>
        <c:ser>
          <c:idx val="7"/>
          <c:order val="6"/>
          <c:tx>
            <c:strRef>
              <c:f>'Potencial energético'!$Z$2:$AB$2</c:f>
              <c:strCache>
                <c:ptCount val="1"/>
                <c:pt idx="0">
                  <c:v>Acelerado-BAU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energético'!$AB$4:$AB$54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269904813347.91357</c:v>
                </c:pt>
                <c:pt idx="25">
                  <c:v>280319719774.38837</c:v>
                </c:pt>
                <c:pt idx="26">
                  <c:v>291136509644.61035</c:v>
                </c:pt>
                <c:pt idx="27">
                  <c:v>302370690568.12939</c:v>
                </c:pt>
                <c:pt idx="28">
                  <c:v>314038368551.76147</c:v>
                </c:pt>
                <c:pt idx="29">
                  <c:v>326156271090.14044</c:v>
                </c:pt>
                <c:pt idx="30">
                  <c:v>338741771147.27759</c:v>
                </c:pt>
                <c:pt idx="31">
                  <c:v>351812912063.49976</c:v>
                </c:pt>
                <c:pt idx="32">
                  <c:v>365388433423.48334</c:v>
                </c:pt>
                <c:pt idx="33">
                  <c:v>379487797922.46606</c:v>
                </c:pt>
                <c:pt idx="34">
                  <c:v>394131219269.14948</c:v>
                </c:pt>
                <c:pt idx="35">
                  <c:v>409339691165.31146</c:v>
                </c:pt>
                <c:pt idx="36">
                  <c:v>425135017403.65247</c:v>
                </c:pt>
                <c:pt idx="37">
                  <c:v>441539843127.04279</c:v>
                </c:pt>
                <c:pt idx="38">
                  <c:v>458577687293.98181</c:v>
                </c:pt>
                <c:pt idx="39">
                  <c:v>476272976396.80945</c:v>
                </c:pt>
                <c:pt idx="40">
                  <c:v>494651079481.01556</c:v>
                </c:pt>
                <c:pt idx="41">
                  <c:v>513738344515.85132</c:v>
                </c:pt>
                <c:pt idx="42">
                  <c:v>533562136168.38361</c:v>
                </c:pt>
                <c:pt idx="43">
                  <c:v>554150875035.15271</c:v>
                </c:pt>
                <c:pt idx="44">
                  <c:v>575534078387.66467</c:v>
                </c:pt>
                <c:pt idx="45">
                  <c:v>597742402490.16345</c:v>
                </c:pt>
                <c:pt idx="46">
                  <c:v>620807686550.31299</c:v>
                </c:pt>
                <c:pt idx="47">
                  <c:v>644762998365.82837</c:v>
                </c:pt>
                <c:pt idx="48">
                  <c:v>669642681732.48792</c:v>
                </c:pt>
                <c:pt idx="49">
                  <c:v>695482405681.49158</c:v>
                </c:pt>
                <c:pt idx="50">
                  <c:v>722319215616.76086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D2-4D96-A158-EBE2996F8176}"/>
            </c:ext>
          </c:extLst>
        </c:ser>
        <c:ser>
          <c:idx val="8"/>
          <c:order val="7"/>
          <c:tx>
            <c:strRef>
              <c:f>'Potencial energético'!$AD$2:$AF$2</c:f>
              <c:strCache>
                <c:ptCount val="1"/>
                <c:pt idx="0">
                  <c:v>Acelerado-Moderada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energético'!$AF$4:$AF$54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269785711570.94711</c:v>
                </c:pt>
                <c:pt idx="25">
                  <c:v>280043589047.7641</c:v>
                </c:pt>
                <c:pt idx="26">
                  <c:v>290660997796.31207</c:v>
                </c:pt>
                <c:pt idx="27">
                  <c:v>301648640402.40137</c:v>
                </c:pt>
                <c:pt idx="28">
                  <c:v>313017409806.80713</c:v>
                </c:pt>
                <c:pt idx="29">
                  <c:v>324778382492.76917</c:v>
                </c:pt>
                <c:pt idx="30">
                  <c:v>336942810559.96167</c:v>
                </c:pt>
                <c:pt idx="31">
                  <c:v>349522112592.69299</c:v>
                </c:pt>
                <c:pt idx="32">
                  <c:v>362527863223.77673</c:v>
                </c:pt>
                <c:pt idx="33">
                  <c:v>375971781288.76251</c:v>
                </c:pt>
                <c:pt idx="34">
                  <c:v>389865716458.05914</c:v>
                </c:pt>
                <c:pt idx="35">
                  <c:v>404221634226.89191</c:v>
                </c:pt>
                <c:pt idx="36">
                  <c:v>419051599134.91931</c:v>
                </c:pt>
                <c:pt idx="37">
                  <c:v>434367756078.78906</c:v>
                </c:pt>
                <c:pt idx="38">
                  <c:v>450182309571.77887</c:v>
                </c:pt>
                <c:pt idx="39">
                  <c:v>466507500794.98883</c:v>
                </c:pt>
                <c:pt idx="40">
                  <c:v>483355582274.28687</c:v>
                </c:pt>
                <c:pt idx="41">
                  <c:v>500738790006.29523</c:v>
                </c:pt>
                <c:pt idx="42">
                  <c:v>518669312845.13263</c:v>
                </c:pt>
                <c:pt idx="43">
                  <c:v>537159258949.34729</c:v>
                </c:pt>
                <c:pt idx="44">
                  <c:v>556220619075.42957</c:v>
                </c:pt>
                <c:pt idx="45">
                  <c:v>575865226490.50439</c:v>
                </c:pt>
                <c:pt idx="46">
                  <c:v>596104713262.07727</c:v>
                </c:pt>
                <c:pt idx="47">
                  <c:v>616950462667.21106</c:v>
                </c:pt>
                <c:pt idx="48">
                  <c:v>638413557446.98669</c:v>
                </c:pt>
                <c:pt idx="49">
                  <c:v>660504723614.6123</c:v>
                </c:pt>
                <c:pt idx="50">
                  <c:v>683234269507.01538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D2-4D96-A158-EBE2996F8176}"/>
            </c:ext>
          </c:extLst>
        </c:ser>
        <c:ser>
          <c:idx val="9"/>
          <c:order val="8"/>
          <c:tx>
            <c:strRef>
              <c:f>'Potencial energético'!$AH$2:$AJ$2</c:f>
              <c:strCache>
                <c:ptCount val="1"/>
                <c:pt idx="0">
                  <c:v>Acelerado-Acelerado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energético'!$AJ$4:$AJ$54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269079175605.89169</c:v>
                </c:pt>
                <c:pt idx="25">
                  <c:v>278561764931.55396</c:v>
                </c:pt>
                <c:pt idx="26">
                  <c:v>288330115696.90295</c:v>
                </c:pt>
                <c:pt idx="27">
                  <c:v>298389587334.30933</c:v>
                </c:pt>
                <c:pt idx="28">
                  <c:v>308745384326.89362</c:v>
                </c:pt>
                <c:pt idx="29">
                  <c:v>319402528443.4682</c:v>
                </c:pt>
                <c:pt idx="30">
                  <c:v>330365828638.50287</c:v>
                </c:pt>
                <c:pt idx="31">
                  <c:v>341639848455.61554</c:v>
                </c:pt>
                <c:pt idx="32">
                  <c:v>353228870762.92499</c:v>
                </c:pt>
                <c:pt idx="33">
                  <c:v>365136859637.78955</c:v>
                </c:pt>
                <c:pt idx="34">
                  <c:v>377367419207.02014</c:v>
                </c:pt>
                <c:pt idx="35">
                  <c:v>389923749236.55212</c:v>
                </c:pt>
                <c:pt idx="36">
                  <c:v>402808597251.68146</c:v>
                </c:pt>
                <c:pt idx="37">
                  <c:v>416024206955.40662</c:v>
                </c:pt>
                <c:pt idx="38">
                  <c:v>429572262697.98914</c:v>
                </c:pt>
                <c:pt idx="39">
                  <c:v>443453829735.58246</c:v>
                </c:pt>
                <c:pt idx="40">
                  <c:v>457669289999.62958</c:v>
                </c:pt>
                <c:pt idx="41">
                  <c:v>472218273081.60803</c:v>
                </c:pt>
                <c:pt idx="42">
                  <c:v>487099582119.58118</c:v>
                </c:pt>
                <c:pt idx="43">
                  <c:v>502311114253.83826</c:v>
                </c:pt>
                <c:pt idx="44">
                  <c:v>517849775298.58026</c:v>
                </c:pt>
                <c:pt idx="45">
                  <c:v>533711388255.15051</c:v>
                </c:pt>
                <c:pt idx="46">
                  <c:v>549890595269.49573</c:v>
                </c:pt>
                <c:pt idx="47">
                  <c:v>566380752612.52173</c:v>
                </c:pt>
                <c:pt idx="48">
                  <c:v>583173818236.49353</c:v>
                </c:pt>
                <c:pt idx="49">
                  <c:v>600260231433.6665</c:v>
                </c:pt>
                <c:pt idx="50">
                  <c:v>617628784094.81921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D2-4D96-A158-EBE2996F8176}"/>
            </c:ext>
          </c:extLst>
        </c:ser>
        <c:ser>
          <c:idx val="0"/>
          <c:order val="9"/>
          <c:tx>
            <c:v>Histórico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7D2-4D96-A158-EBE2996F8176}"/>
              </c:ext>
            </c:extLst>
          </c:dPt>
          <c:dPt>
            <c:idx val="2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E7D2-4D96-A158-EBE2996F8176}"/>
              </c:ext>
            </c:extLst>
          </c:dPt>
          <c:dPt>
            <c:idx val="26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7D2-4D96-A158-EBE2996F8176}"/>
              </c:ext>
            </c:extLst>
          </c:dPt>
          <c:dPt>
            <c:idx val="27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E7D2-4D96-A158-EBE2996F8176}"/>
              </c:ext>
            </c:extLst>
          </c:dPt>
          <c:dPt>
            <c:idx val="28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7D2-4D96-A158-EBE2996F8176}"/>
              </c:ext>
            </c:extLst>
          </c:dPt>
          <c:dPt>
            <c:idx val="29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E7D2-4D96-A158-EBE2996F8176}"/>
              </c:ext>
            </c:extLst>
          </c:dPt>
          <c:dPt>
            <c:idx val="3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7D2-4D96-A158-EBE2996F8176}"/>
              </c:ext>
            </c:extLst>
          </c:dPt>
          <c:dPt>
            <c:idx val="3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E7D2-4D96-A158-EBE2996F8176}"/>
              </c:ext>
            </c:extLst>
          </c:dPt>
          <c:dPt>
            <c:idx val="3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7D2-4D96-A158-EBE2996F8176}"/>
              </c:ext>
            </c:extLst>
          </c:dPt>
          <c:dPt>
            <c:idx val="3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E7D2-4D96-A158-EBE2996F8176}"/>
              </c:ext>
            </c:extLst>
          </c:dPt>
          <c:dPt>
            <c:idx val="3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7D2-4D96-A158-EBE2996F8176}"/>
              </c:ext>
            </c:extLst>
          </c:dPt>
          <c:dPt>
            <c:idx val="3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E7D2-4D96-A158-EBE2996F8176}"/>
              </c:ext>
            </c:extLst>
          </c:dPt>
          <c:dPt>
            <c:idx val="36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7D2-4D96-A158-EBE2996F8176}"/>
              </c:ext>
            </c:extLst>
          </c:dPt>
          <c:dPt>
            <c:idx val="37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E7D2-4D96-A158-EBE2996F8176}"/>
              </c:ext>
            </c:extLst>
          </c:dPt>
          <c:dPt>
            <c:idx val="38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7D2-4D96-A158-EBE2996F8176}"/>
              </c:ext>
            </c:extLst>
          </c:dPt>
          <c:dPt>
            <c:idx val="39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E7D2-4D96-A158-EBE2996F8176}"/>
              </c:ext>
            </c:extLst>
          </c:dPt>
          <c:dPt>
            <c:idx val="4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7D2-4D96-A158-EBE2996F8176}"/>
              </c:ext>
            </c:extLst>
          </c:dPt>
          <c:dPt>
            <c:idx val="4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E7D2-4D96-A158-EBE2996F8176}"/>
              </c:ext>
            </c:extLst>
          </c:dPt>
          <c:dPt>
            <c:idx val="4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7D2-4D96-A158-EBE2996F8176}"/>
              </c:ext>
            </c:extLst>
          </c:dPt>
          <c:dPt>
            <c:idx val="4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E7D2-4D96-A158-EBE2996F8176}"/>
              </c:ext>
            </c:extLst>
          </c:dPt>
          <c:dPt>
            <c:idx val="4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7D2-4D96-A158-EBE2996F8176}"/>
              </c:ext>
            </c:extLst>
          </c:dPt>
          <c:dPt>
            <c:idx val="4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7D2-4D96-A158-EBE2996F8176}"/>
              </c:ext>
            </c:extLst>
          </c:dPt>
          <c:dPt>
            <c:idx val="46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7D2-4D96-A158-EBE2996F8176}"/>
              </c:ext>
            </c:extLst>
          </c:dPt>
          <c:dPt>
            <c:idx val="47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E7D2-4D96-A158-EBE2996F8176}"/>
              </c:ext>
            </c:extLst>
          </c:dPt>
          <c:dPt>
            <c:idx val="48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7D2-4D96-A158-EBE2996F8176}"/>
              </c:ext>
            </c:extLst>
          </c:dPt>
          <c:dPt>
            <c:idx val="49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E7D2-4D96-A158-EBE2996F8176}"/>
              </c:ext>
            </c:extLst>
          </c:dPt>
          <c:dPt>
            <c:idx val="5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7D2-4D96-A158-EBE2996F8176}"/>
              </c:ext>
            </c:extLst>
          </c:dPt>
          <c:cat>
            <c:numRef>
              <c:f>'Potencial energético'!$A$4:$A$54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'Potencial energético'!$D$4:$D$54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 formatCode="0.00E+00">
                  <c:v>269074462015.37134</c:v>
                </c:pt>
                <c:pt idx="25" formatCode="0.00E+00">
                  <c:v>274573344097.76004</c:v>
                </c:pt>
                <c:pt idx="26" formatCode="0.00E+00">
                  <c:v>280184602895.2392</c:v>
                </c:pt>
                <c:pt idx="27" formatCode="0.00E+00">
                  <c:v>285910534970.25635</c:v>
                </c:pt>
                <c:pt idx="28" formatCode="0.00E+00">
                  <c:v>291753483818.46136</c:v>
                </c:pt>
                <c:pt idx="29" formatCode="0.00E+00">
                  <c:v>297715840827.84619</c:v>
                </c:pt>
                <c:pt idx="30" formatCode="0.00E+00">
                  <c:v>303800046257.48669</c:v>
                </c:pt>
                <c:pt idx="31" formatCode="0.00E+00">
                  <c:v>310008590236.28577</c:v>
                </c:pt>
                <c:pt idx="32" formatCode="0.00E+00">
                  <c:v>316344013782.12756</c:v>
                </c:pt>
                <c:pt idx="33" formatCode="0.00E+00">
                  <c:v>322808909841.8587</c:v>
                </c:pt>
                <c:pt idx="34" formatCode="0.00E+00">
                  <c:v>329405924352.52386</c:v>
                </c:pt>
                <c:pt idx="35" formatCode="0.00E+00">
                  <c:v>336137757324.28796</c:v>
                </c:pt>
                <c:pt idx="36" formatCode="0.00E+00">
                  <c:v>343007163945.4903</c:v>
                </c:pt>
                <c:pt idx="37" formatCode="0.00E+00">
                  <c:v>350016955710.28082</c:v>
                </c:pt>
                <c:pt idx="38" formatCode="0.00E+00">
                  <c:v>357170001569.30237</c:v>
                </c:pt>
                <c:pt idx="39" formatCode="0.00E+00">
                  <c:v>364469229103.88715</c:v>
                </c:pt>
                <c:pt idx="40" formatCode="0.00E+00">
                  <c:v>371917625724.25043</c:v>
                </c:pt>
                <c:pt idx="41" formatCode="0.00E+00">
                  <c:v>379518239892.17084</c:v>
                </c:pt>
                <c:pt idx="42" formatCode="0.00E+00">
                  <c:v>387274182368.65717</c:v>
                </c:pt>
                <c:pt idx="43" formatCode="0.00E+00">
                  <c:v>395188627487.11316</c:v>
                </c:pt>
                <c:pt idx="44" formatCode="0.00E+00">
                  <c:v>403264814452.52087</c:v>
                </c:pt>
                <c:pt idx="45" formatCode="0.00E+00">
                  <c:v>411506048667.17517</c:v>
                </c:pt>
                <c:pt idx="46" formatCode="0.00E+00">
                  <c:v>419915703083.51007</c:v>
                </c:pt>
                <c:pt idx="47" formatCode="0.00E+00">
                  <c:v>428497219584.57294</c:v>
                </c:pt>
                <c:pt idx="48" formatCode="0.00E+00">
                  <c:v>437254110392.71051</c:v>
                </c:pt>
                <c:pt idx="49" formatCode="0.00E+00">
                  <c:v>446189959507.04187</c:v>
                </c:pt>
                <c:pt idx="50" formatCode="0.00E+00">
                  <c:v>455308424170.30988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2-4D96-A158-EBE2996F8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260080"/>
        <c:axId val="2091244240"/>
      </c:lineChart>
      <c:catAx>
        <c:axId val="209126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1244240"/>
        <c:crosses val="autoZero"/>
        <c:auto val="1"/>
        <c:lblAlgn val="ctr"/>
        <c:lblOffset val="100"/>
        <c:tickLblSkip val="5"/>
        <c:noMultiLvlLbl val="0"/>
      </c:catAx>
      <c:valAx>
        <c:axId val="2091244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126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74</xdr:row>
      <xdr:rowOff>85725</xdr:rowOff>
    </xdr:from>
    <xdr:to>
      <xdr:col>6</xdr:col>
      <xdr:colOff>322762</xdr:colOff>
      <xdr:row>109</xdr:row>
      <xdr:rowOff>8700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2FABBE-D60E-1C24-2BEC-4CC24A37F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4573250"/>
          <a:ext cx="8704762" cy="66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1133475</xdr:colOff>
      <xdr:row>64</xdr:row>
      <xdr:rowOff>190499</xdr:rowOff>
    </xdr:from>
    <xdr:to>
      <xdr:col>9</xdr:col>
      <xdr:colOff>466725</xdr:colOff>
      <xdr:row>91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04274D-6D88-45F5-97CF-8E0E3BE95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382386</xdr:colOff>
      <xdr:row>67</xdr:row>
      <xdr:rowOff>66675</xdr:rowOff>
    </xdr:from>
    <xdr:to>
      <xdr:col>5</xdr:col>
      <xdr:colOff>392113</xdr:colOff>
      <xdr:row>88</xdr:row>
      <xdr:rowOff>52591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DEEC413D-7C5A-23D8-5C09-EF14D48C476A}"/>
            </a:ext>
          </a:extLst>
        </xdr:cNvPr>
        <xdr:cNvCxnSpPr/>
      </xdr:nvCxnSpPr>
      <xdr:spPr>
        <a:xfrm flipV="1">
          <a:off x="5744961" y="15849600"/>
          <a:ext cx="9727" cy="3986416"/>
        </a:xfrm>
        <a:prstGeom prst="line">
          <a:avLst/>
        </a:prstGeom>
        <a:ln w="28575" cmpd="sng">
          <a:solidFill>
            <a:schemeClr val="bg2">
              <a:lumMod val="50000"/>
            </a:schemeClr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1304925</xdr:colOff>
      <xdr:row>66</xdr:row>
      <xdr:rowOff>85725</xdr:rowOff>
    </xdr:from>
    <xdr:to>
      <xdr:col>18</xdr:col>
      <xdr:colOff>57150</xdr:colOff>
      <xdr:row>92</xdr:row>
      <xdr:rowOff>171450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B601C28-5C65-4154-B2D8-887281408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722313</xdr:colOff>
      <xdr:row>84</xdr:row>
      <xdr:rowOff>103188</xdr:rowOff>
    </xdr:from>
    <xdr:to>
      <xdr:col>4</xdr:col>
      <xdr:colOff>301625</xdr:colOff>
      <xdr:row>85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5F9428B-DA8C-E957-053E-D6AE41CB0C56}"/>
            </a:ext>
          </a:extLst>
        </xdr:cNvPr>
        <xdr:cNvSpPr txBox="1"/>
      </xdr:nvSpPr>
      <xdr:spPr>
        <a:xfrm>
          <a:off x="4183063" y="19994563"/>
          <a:ext cx="873125" cy="246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kern="1200">
              <a:latin typeface="Times New Roman" panose="02020603050405020304" pitchFamily="18" charset="0"/>
              <a:cs typeface="Times New Roman" panose="02020603050405020304" pitchFamily="18" charset="0"/>
            </a:rPr>
            <a:t>Passageiro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0.33295</cdr:x>
      <cdr:y>0.31632</cdr:y>
    </cdr:from>
    <cdr:to>
      <cdr:x>0.45</cdr:x>
      <cdr:y>0.37114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E0FAC40B-C6AC-FDB7-353A-7352729CE167}"/>
            </a:ext>
          </a:extLst>
        </cdr:cNvPr>
        <cdr:cNvSpPr txBox="1"/>
      </cdr:nvSpPr>
      <cdr:spPr>
        <a:xfrm xmlns:a="http://schemas.openxmlformats.org/drawingml/2006/main">
          <a:off x="2727326" y="1593850"/>
          <a:ext cx="958850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Histórico</a:t>
          </a:r>
        </a:p>
      </cdr:txBody>
    </cdr:sp>
  </cdr:relSizeAnchor>
  <cdr:relSizeAnchor xmlns:cdr="http://schemas.openxmlformats.org/drawingml/2006/chartDrawing">
    <cdr:from>
      <cdr:x>0.4876</cdr:x>
      <cdr:y>0.31254</cdr:y>
    </cdr:from>
    <cdr:to>
      <cdr:x>0.62132</cdr:x>
      <cdr:y>0.36736</cdr:y>
    </cdr:to>
    <cdr:sp macro="" textlink="">
      <cdr:nvSpPr>
        <cdr:cNvPr id="4" name="TextBox 12">
          <a:extLst xmlns:a="http://schemas.openxmlformats.org/drawingml/2006/main">
            <a:ext uri="{FF2B5EF4-FFF2-40B4-BE49-F238E27FC236}">
              <a16:creationId xmlns:a16="http://schemas.microsoft.com/office/drawing/2014/main" id="{E0FAC40B-C6AC-FDB7-353A-7352729CE167}"/>
            </a:ext>
          </a:extLst>
        </cdr:cNvPr>
        <cdr:cNvSpPr txBox="1"/>
      </cdr:nvSpPr>
      <cdr:spPr>
        <a:xfrm xmlns:a="http://schemas.openxmlformats.org/drawingml/2006/main">
          <a:off x="3994150" y="1574800"/>
          <a:ext cx="1095375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Projeções</a:t>
          </a:r>
        </a:p>
      </cdr:txBody>
    </cdr:sp>
  </cdr:relSizeAnchor>
  <cdr:relSizeAnchor xmlns:cdr="http://schemas.openxmlformats.org/drawingml/2006/chartDrawing">
    <cdr:from>
      <cdr:x>0.35407</cdr:x>
      <cdr:y>0.83554</cdr:y>
    </cdr:from>
    <cdr:to>
      <cdr:x>0.46066</cdr:x>
      <cdr:y>0.88437</cdr:y>
    </cdr:to>
    <cdr:sp macro="" textlink="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A5F9428B-DA8C-E957-053E-D6AE41CB0C56}"/>
            </a:ext>
          </a:extLst>
        </cdr:cNvPr>
        <cdr:cNvSpPr txBox="1"/>
      </cdr:nvSpPr>
      <cdr:spPr>
        <a:xfrm xmlns:a="http://schemas.openxmlformats.org/drawingml/2006/main">
          <a:off x="2900363" y="4210050"/>
          <a:ext cx="873125" cy="246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 kern="1200">
              <a:latin typeface="Times New Roman" panose="02020603050405020304" pitchFamily="18" charset="0"/>
              <a:cs typeface="Times New Roman" panose="02020603050405020304" pitchFamily="18" charset="0"/>
            </a:rPr>
            <a:t>Carga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0.46395</cdr:x>
      <cdr:y>0.09452</cdr:y>
    </cdr:from>
    <cdr:to>
      <cdr:x>0.46628</cdr:x>
      <cdr:y>0.93951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DEEC413D-7C5A-23D8-5C09-EF14D48C476A}"/>
            </a:ext>
          </a:extLst>
        </cdr:cNvPr>
        <cdr:cNvCxnSpPr/>
      </cdr:nvCxnSpPr>
      <cdr:spPr>
        <a:xfrm xmlns:a="http://schemas.openxmlformats.org/drawingml/2006/main" flipV="1">
          <a:off x="3800475" y="476260"/>
          <a:ext cx="19058" cy="4257665"/>
        </a:xfrm>
        <a:prstGeom xmlns:a="http://schemas.openxmlformats.org/drawingml/2006/main" prst="line">
          <a:avLst/>
        </a:prstGeom>
        <a:ln xmlns:a="http://schemas.openxmlformats.org/drawingml/2006/main" w="28575" cmpd="sng">
          <a:solidFill>
            <a:schemeClr val="bg2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0.32829</cdr:x>
      <cdr:y>0.30498</cdr:y>
    </cdr:from>
    <cdr:to>
      <cdr:x>0.44535</cdr:x>
      <cdr:y>0.3598</cdr:y>
    </cdr:to>
    <cdr:sp macro="" textlink="">
      <cdr:nvSpPr>
        <cdr:cNvPr id="7" name="TextBox 12">
          <a:extLst xmlns:a="http://schemas.openxmlformats.org/drawingml/2006/main">
            <a:ext uri="{FF2B5EF4-FFF2-40B4-BE49-F238E27FC236}">
              <a16:creationId xmlns:a16="http://schemas.microsoft.com/office/drawing/2014/main" id="{4523E5CF-511D-4250-5453-485397F15E59}"/>
            </a:ext>
          </a:extLst>
        </cdr:cNvPr>
        <cdr:cNvSpPr txBox="1"/>
      </cdr:nvSpPr>
      <cdr:spPr>
        <a:xfrm xmlns:a="http://schemas.openxmlformats.org/drawingml/2006/main">
          <a:off x="2689225" y="1536700"/>
          <a:ext cx="958850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Histórico</a:t>
          </a:r>
        </a:p>
      </cdr:txBody>
    </cdr:sp>
  </cdr:relSizeAnchor>
  <cdr:relSizeAnchor xmlns:cdr="http://schemas.openxmlformats.org/drawingml/2006/chartDrawing">
    <cdr:from>
      <cdr:x>0.48992</cdr:x>
      <cdr:y>0.30876</cdr:y>
    </cdr:from>
    <cdr:to>
      <cdr:x>0.62364</cdr:x>
      <cdr:y>0.36358</cdr:y>
    </cdr:to>
    <cdr:sp macro="" textlink="">
      <cdr:nvSpPr>
        <cdr:cNvPr id="8" name="TextBox 12">
          <a:extLst xmlns:a="http://schemas.openxmlformats.org/drawingml/2006/main">
            <a:ext uri="{FF2B5EF4-FFF2-40B4-BE49-F238E27FC236}">
              <a16:creationId xmlns:a16="http://schemas.microsoft.com/office/drawing/2014/main" id="{46B4B6DA-7229-CDD5-C350-8133B014290B}"/>
            </a:ext>
          </a:extLst>
        </cdr:cNvPr>
        <cdr:cNvSpPr txBox="1"/>
      </cdr:nvSpPr>
      <cdr:spPr>
        <a:xfrm xmlns:a="http://schemas.openxmlformats.org/drawingml/2006/main">
          <a:off x="4013187" y="1555740"/>
          <a:ext cx="1095368" cy="27622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Projeções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119061</xdr:colOff>
      <xdr:row>56</xdr:row>
      <xdr:rowOff>109536</xdr:rowOff>
    </xdr:from>
    <xdr:to>
      <xdr:col>13</xdr:col>
      <xdr:colOff>66675</xdr:colOff>
      <xdr:row>84</xdr:row>
      <xdr:rowOff>38100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AF48848F-42CA-39E6-B227-C3D26ACB9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DPG\SDB\&#193;rea%20Abastecimento\&#193;rea%20Demanda\PDE\PDE%202034\A&#233;reo%20(final)\Proje&#231;&#227;o%20Demanda%20QAV_PDE%202034_v1_final-2024.06.11_CEN_2_Eficientizacao%20(eficiencia%20congelada).xlsx" TargetMode="External"/><Relationship Id="rId1" Type="http://schemas.openxmlformats.org/officeDocument/2006/relationships/externalLinkPath" Target="file:///Z:\DPG\SDB\&#193;rea%20Abastecimento\&#193;rea%20Demanda\PDE\PDE%202034\A&#233;reo%20(final)\Proje&#231;&#227;o%20Demanda%20QAV_PDE%202034_v1_final-2024.06.11_CEN_2_Eficientizacao%20(eficiencia%20congelada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ÇÃO"/>
      <sheetName val="Dados"/>
    </sheetNames>
    <sheetDataSet>
      <sheetData sheetId="0"/>
      <sheetData sheetId="1">
        <row r="79">
          <cell r="M79">
            <v>799.58598615599999</v>
          </cell>
          <cell r="AB79">
            <v>239.87890859800001</v>
          </cell>
          <cell r="AP79"/>
          <cell r="BD79">
            <v>644.07231084600005</v>
          </cell>
        </row>
        <row r="80">
          <cell r="M80">
            <v>781.48405495899999</v>
          </cell>
          <cell r="AB80">
            <v>244.68841391999999</v>
          </cell>
          <cell r="AP80"/>
          <cell r="BD80">
            <v>634.62973430099998</v>
          </cell>
        </row>
        <row r="81">
          <cell r="M81">
            <v>869.58993976600004</v>
          </cell>
          <cell r="AB81">
            <v>283.79225563</v>
          </cell>
          <cell r="AP81"/>
          <cell r="BD81">
            <v>698.47408872400001</v>
          </cell>
        </row>
        <row r="82">
          <cell r="M82">
            <v>910.44059832900007</v>
          </cell>
          <cell r="AB82">
            <v>276.52130291000003</v>
          </cell>
          <cell r="AP82"/>
          <cell r="BD82">
            <v>680.74048176300005</v>
          </cell>
        </row>
        <row r="83">
          <cell r="M83">
            <v>747.13460888599991</v>
          </cell>
          <cell r="AB83">
            <v>256.98940538099998</v>
          </cell>
          <cell r="AP83"/>
          <cell r="BD83">
            <v>659.4533353999999</v>
          </cell>
        </row>
        <row r="84">
          <cell r="M84">
            <v>523.55985092799995</v>
          </cell>
          <cell r="AB84">
            <v>170.90000192700001</v>
          </cell>
          <cell r="AP84"/>
          <cell r="BD84">
            <v>525.55812474799995</v>
          </cell>
        </row>
        <row r="85">
          <cell r="M85">
            <v>85.886514084999988</v>
          </cell>
          <cell r="AB85">
            <v>18.193749513</v>
          </cell>
          <cell r="AP85"/>
          <cell r="BD85">
            <v>175.82053409899999</v>
          </cell>
        </row>
        <row r="86">
          <cell r="M86">
            <v>119.10151382800001</v>
          </cell>
          <cell r="AB86">
            <v>33.755812869000003</v>
          </cell>
          <cell r="AP86"/>
          <cell r="BD86">
            <v>200.405955312</v>
          </cell>
        </row>
        <row r="87">
          <cell r="M87">
            <v>158.56574995700001</v>
          </cell>
          <cell r="AB87">
            <v>34.475181620000001</v>
          </cell>
          <cell r="AP87"/>
          <cell r="BD87">
            <v>226.58109846600001</v>
          </cell>
        </row>
        <row r="88">
          <cell r="M88">
            <v>238.63708121299999</v>
          </cell>
          <cell r="AB88">
            <v>41.633857198000001</v>
          </cell>
          <cell r="AP88"/>
          <cell r="BD88">
            <v>249.468655619</v>
          </cell>
        </row>
        <row r="89">
          <cell r="M89">
            <v>301.855434618</v>
          </cell>
          <cell r="AB89">
            <v>41.451507495999998</v>
          </cell>
          <cell r="AP89"/>
          <cell r="BD89">
            <v>283.542138368</v>
          </cell>
        </row>
        <row r="90">
          <cell r="M90">
            <v>382.21873348399998</v>
          </cell>
          <cell r="AB90">
            <v>40.268053328000001</v>
          </cell>
          <cell r="AP90"/>
          <cell r="BD90">
            <v>303.51999300499995</v>
          </cell>
        </row>
        <row r="91">
          <cell r="M91">
            <v>484.80100813600001</v>
          </cell>
          <cell r="AB91">
            <v>52.208347625000002</v>
          </cell>
          <cell r="AP91"/>
          <cell r="BD91">
            <v>344.63128408099999</v>
          </cell>
        </row>
        <row r="92">
          <cell r="M92">
            <v>543.18951594999999</v>
          </cell>
          <cell r="AB92">
            <v>56.944222428000003</v>
          </cell>
          <cell r="AP92"/>
          <cell r="BD92">
            <v>362.87741482299998</v>
          </cell>
        </row>
        <row r="93">
          <cell r="M93">
            <v>650.16558284100006</v>
          </cell>
          <cell r="AB93">
            <v>55.188643574000004</v>
          </cell>
          <cell r="AP93"/>
          <cell r="BD93">
            <v>424.92656492399993</v>
          </cell>
        </row>
        <row r="94">
          <cell r="M94">
            <v>674.52688159800005</v>
          </cell>
          <cell r="AB94">
            <v>83.159952387000004</v>
          </cell>
          <cell r="AP94"/>
          <cell r="BD94">
            <v>386.09201557799997</v>
          </cell>
        </row>
        <row r="95">
          <cell r="M95">
            <v>490.96435969400005</v>
          </cell>
          <cell r="AB95">
            <v>51.327341009000008</v>
          </cell>
          <cell r="AP95"/>
          <cell r="BD95">
            <v>379.25002814300001</v>
          </cell>
        </row>
        <row r="96">
          <cell r="M96">
            <v>397.13046476299996</v>
          </cell>
          <cell r="AB96">
            <v>50.585632832999998</v>
          </cell>
          <cell r="AP96"/>
          <cell r="BD96">
            <v>473.353722683</v>
          </cell>
        </row>
        <row r="97">
          <cell r="M97">
            <v>327.40542133300005</v>
          </cell>
          <cell r="AB97">
            <v>52.107429588999992</v>
          </cell>
          <cell r="AP97"/>
          <cell r="BD97">
            <v>453.05191392799998</v>
          </cell>
        </row>
        <row r="98">
          <cell r="M98">
            <v>428.68181292899999</v>
          </cell>
          <cell r="AB98">
            <v>77.988576299000002</v>
          </cell>
          <cell r="AP98"/>
          <cell r="BD98">
            <v>504.99868476499995</v>
          </cell>
        </row>
        <row r="99">
          <cell r="M99">
            <v>499.85970458499997</v>
          </cell>
          <cell r="AB99">
            <v>79.990535100000017</v>
          </cell>
          <cell r="AP99"/>
          <cell r="BD99">
            <v>480.88739451399999</v>
          </cell>
        </row>
        <row r="100">
          <cell r="M100">
            <v>657.84227316600004</v>
          </cell>
          <cell r="AB100">
            <v>84.077147069999995</v>
          </cell>
          <cell r="AP100"/>
          <cell r="BD100">
            <v>508.07860968</v>
          </cell>
        </row>
        <row r="101">
          <cell r="M101">
            <v>615.05821041900003</v>
          </cell>
          <cell r="AB101">
            <v>68.215968392000008</v>
          </cell>
          <cell r="AP101"/>
          <cell r="BD101">
            <v>502.28147444199993</v>
          </cell>
        </row>
        <row r="102">
          <cell r="M102">
            <v>652.07034347199988</v>
          </cell>
          <cell r="AB102">
            <v>81.206173007999993</v>
          </cell>
          <cell r="BD102">
            <v>493.15344243999994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lataforma.seeg.eco.br/?_gl=1*1c7j466*_ga*MTk0NzI2MDYwMS4xNzMyNzM0Mzg0*_ga_XZWSWEJDWQ*MTczMjczNDM4NC4xLjAuMTczMjczNDM4NC4wLjAuMA.." TargetMode="External"/><Relationship Id="rId1" Type="http://schemas.openxmlformats.org/officeDocument/2006/relationships/hyperlink" Target="https://data.worldbank.org/indicator/NY.GDP.PCAP.PP.CD?name_desc=false&amp;locations=B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3860-E01B-437B-BD1E-6907CC3EEE5F}">
  <dimension ref="A1:P100"/>
  <sheetViews>
    <sheetView zoomScaleNormal="100" workbookViewId="0">
      <pane xSplit="1" topLeftCell="E1" activePane="topRight" state="frozen"/>
      <selection pane="topRight" activeCell="K24" sqref="K24"/>
    </sheetView>
  </sheetViews>
  <sheetFormatPr defaultRowHeight="15" x14ac:dyDescent="0.25"/>
  <cols>
    <col min="1" max="1" width="9.140625" customWidth="1"/>
    <col min="2" max="2" width="23.140625" customWidth="1"/>
    <col min="3" max="3" width="23.7109375" customWidth="1"/>
    <col min="4" max="4" width="27" customWidth="1"/>
    <col min="5" max="5" width="22" customWidth="1"/>
    <col min="6" max="6" width="23.85546875" customWidth="1"/>
    <col min="7" max="7" width="27" customWidth="1"/>
    <col min="8" max="8" width="31.85546875" customWidth="1"/>
    <col min="9" max="9" width="12.42578125" customWidth="1"/>
    <col min="10" max="10" width="17.42578125" customWidth="1"/>
    <col min="11" max="11" width="16.85546875" customWidth="1"/>
    <col min="12" max="12" width="14.7109375" customWidth="1"/>
    <col min="13" max="13" width="12" customWidth="1"/>
    <col min="15" max="15" width="14.42578125" customWidth="1"/>
    <col min="16" max="16" width="13.28515625" style="30" bestFit="1" customWidth="1"/>
  </cols>
  <sheetData>
    <row r="1" spans="1:16" x14ac:dyDescent="0.25">
      <c r="A1" s="101" t="s">
        <v>45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ht="30" x14ac:dyDescent="0.25">
      <c r="A2" s="106" t="s">
        <v>28</v>
      </c>
      <c r="B2" s="21" t="s">
        <v>50</v>
      </c>
      <c r="C2" s="103" t="s">
        <v>49</v>
      </c>
      <c r="D2" s="103"/>
      <c r="E2" s="103" t="s">
        <v>51</v>
      </c>
      <c r="F2" s="103"/>
      <c r="G2" s="103" t="s">
        <v>52</v>
      </c>
      <c r="H2" s="103"/>
      <c r="I2" s="21" t="s">
        <v>53</v>
      </c>
      <c r="J2" s="21" t="s">
        <v>53</v>
      </c>
      <c r="K2" s="103" t="s">
        <v>75</v>
      </c>
      <c r="L2" s="103"/>
      <c r="M2" s="20" t="s">
        <v>54</v>
      </c>
      <c r="N2" s="15"/>
      <c r="O2" s="15" t="s">
        <v>8</v>
      </c>
      <c r="P2" s="27"/>
    </row>
    <row r="3" spans="1:16" ht="30" x14ac:dyDescent="0.25">
      <c r="A3" s="106"/>
      <c r="B3" s="16" t="s">
        <v>56</v>
      </c>
      <c r="C3" s="17" t="s">
        <v>1</v>
      </c>
      <c r="D3" s="18" t="s">
        <v>2</v>
      </c>
      <c r="E3" s="17" t="s">
        <v>9</v>
      </c>
      <c r="F3" s="18" t="s">
        <v>10</v>
      </c>
      <c r="G3" s="17" t="s">
        <v>2</v>
      </c>
      <c r="H3" s="18" t="s">
        <v>11</v>
      </c>
      <c r="I3" s="16" t="s">
        <v>39</v>
      </c>
      <c r="J3" s="16" t="s">
        <v>12</v>
      </c>
      <c r="K3" s="17" t="s">
        <v>3</v>
      </c>
      <c r="L3" s="18" t="s">
        <v>4</v>
      </c>
      <c r="M3" s="16" t="s">
        <v>5</v>
      </c>
      <c r="N3" s="16"/>
      <c r="O3" s="16" t="s">
        <v>13</v>
      </c>
      <c r="P3" s="28" t="s">
        <v>67</v>
      </c>
    </row>
    <row r="4" spans="1:16" x14ac:dyDescent="0.25">
      <c r="A4" s="19">
        <v>1990</v>
      </c>
      <c r="B4" s="22">
        <v>5940999</v>
      </c>
      <c r="C4" s="23" t="s">
        <v>26</v>
      </c>
      <c r="D4" s="23" t="s">
        <v>26</v>
      </c>
      <c r="E4" s="23" t="s">
        <v>26</v>
      </c>
      <c r="F4" s="23" t="s">
        <v>26</v>
      </c>
      <c r="G4" s="23" t="s">
        <v>26</v>
      </c>
      <c r="H4" s="23" t="s">
        <v>26</v>
      </c>
      <c r="I4" s="23" t="s">
        <v>26</v>
      </c>
      <c r="J4" s="23" t="s">
        <v>26</v>
      </c>
      <c r="K4" s="23" t="s">
        <v>26</v>
      </c>
      <c r="L4" s="23" t="s">
        <v>26</v>
      </c>
      <c r="M4" s="23" t="s">
        <v>26</v>
      </c>
      <c r="N4" s="2"/>
      <c r="O4" s="2">
        <v>6618.5515627576269</v>
      </c>
      <c r="P4" s="23" t="s">
        <v>26</v>
      </c>
    </row>
    <row r="5" spans="1:16" x14ac:dyDescent="0.25">
      <c r="A5" s="19">
        <v>1991</v>
      </c>
      <c r="B5" s="22">
        <v>6219267</v>
      </c>
      <c r="C5" s="23" t="s">
        <v>26</v>
      </c>
      <c r="D5" s="23" t="s">
        <v>26</v>
      </c>
      <c r="E5" s="23" t="s">
        <v>26</v>
      </c>
      <c r="F5" s="23" t="s">
        <v>26</v>
      </c>
      <c r="G5" s="23" t="s">
        <v>26</v>
      </c>
      <c r="H5" s="23" t="s">
        <v>26</v>
      </c>
      <c r="I5" s="23" t="s">
        <v>26</v>
      </c>
      <c r="J5" s="23" t="s">
        <v>26</v>
      </c>
      <c r="K5" s="23" t="s">
        <v>26</v>
      </c>
      <c r="L5" s="23" t="s">
        <v>26</v>
      </c>
      <c r="M5" s="23" t="s">
        <v>26</v>
      </c>
      <c r="N5" s="2"/>
      <c r="O5" s="2">
        <v>6794.4341985319115</v>
      </c>
      <c r="P5" s="29">
        <f xml:space="preserve"> O5/O4-1</f>
        <v>2.6574188341142557E-2</v>
      </c>
    </row>
    <row r="6" spans="1:16" x14ac:dyDescent="0.25">
      <c r="A6" s="19">
        <v>1992</v>
      </c>
      <c r="B6" s="22">
        <v>5848477</v>
      </c>
      <c r="C6" s="23" t="s">
        <v>26</v>
      </c>
      <c r="D6" s="23" t="s">
        <v>26</v>
      </c>
      <c r="E6" s="23" t="s">
        <v>26</v>
      </c>
      <c r="F6" s="23" t="s">
        <v>26</v>
      </c>
      <c r="G6" s="23" t="s">
        <v>26</v>
      </c>
      <c r="H6" s="23" t="s">
        <v>26</v>
      </c>
      <c r="I6" s="23" t="s">
        <v>26</v>
      </c>
      <c r="J6" s="23" t="s">
        <v>26</v>
      </c>
      <c r="K6" s="23" t="s">
        <v>26</v>
      </c>
      <c r="L6" s="23" t="s">
        <v>26</v>
      </c>
      <c r="M6" s="23" t="s">
        <v>26</v>
      </c>
      <c r="N6" s="2"/>
      <c r="O6" s="2">
        <v>6797.7767867081066</v>
      </c>
      <c r="P6" s="29">
        <f t="shared" ref="P6:P37" si="0" xml:space="preserve"> O6/O5-1</f>
        <v>4.9195975389926261E-4</v>
      </c>
    </row>
    <row r="7" spans="1:16" x14ac:dyDescent="0.25">
      <c r="A7" s="19">
        <v>1993</v>
      </c>
      <c r="B7" s="22">
        <v>6174423</v>
      </c>
      <c r="C7" s="23" t="s">
        <v>26</v>
      </c>
      <c r="D7" s="23" t="s">
        <v>26</v>
      </c>
      <c r="E7" s="23" t="s">
        <v>26</v>
      </c>
      <c r="F7" s="23" t="s">
        <v>26</v>
      </c>
      <c r="G7" s="23" t="s">
        <v>26</v>
      </c>
      <c r="H7" s="23" t="s">
        <v>26</v>
      </c>
      <c r="I7" s="23" t="s">
        <v>26</v>
      </c>
      <c r="J7" s="23" t="s">
        <v>26</v>
      </c>
      <c r="K7" s="23" t="s">
        <v>26</v>
      </c>
      <c r="L7" s="23" t="s">
        <v>26</v>
      </c>
      <c r="M7" s="23" t="s">
        <v>26</v>
      </c>
      <c r="N7" s="2"/>
      <c r="O7" s="2">
        <v>7184.5531140846133</v>
      </c>
      <c r="P7" s="29">
        <f t="shared" si="0"/>
        <v>5.6897473911291296E-2</v>
      </c>
    </row>
    <row r="8" spans="1:16" x14ac:dyDescent="0.25">
      <c r="A8" s="19">
        <v>1994</v>
      </c>
      <c r="B8" s="22">
        <v>6335436</v>
      </c>
      <c r="C8" s="23" t="s">
        <v>26</v>
      </c>
      <c r="D8" s="23" t="s">
        <v>26</v>
      </c>
      <c r="E8" s="23" t="s">
        <v>26</v>
      </c>
      <c r="F8" s="23" t="s">
        <v>26</v>
      </c>
      <c r="G8" s="23" t="s">
        <v>26</v>
      </c>
      <c r="H8" s="23" t="s">
        <v>26</v>
      </c>
      <c r="I8" s="23" t="s">
        <v>26</v>
      </c>
      <c r="J8" s="23" t="s">
        <v>26</v>
      </c>
      <c r="K8" s="23" t="s">
        <v>26</v>
      </c>
      <c r="L8" s="23" t="s">
        <v>26</v>
      </c>
      <c r="M8" s="23" t="s">
        <v>26</v>
      </c>
      <c r="N8" s="2"/>
      <c r="O8" s="2">
        <v>7644.9011017558942</v>
      </c>
      <c r="P8" s="29">
        <f t="shared" si="0"/>
        <v>6.4074686394733904E-2</v>
      </c>
    </row>
    <row r="9" spans="1:16" x14ac:dyDescent="0.25">
      <c r="A9" s="19">
        <v>1995</v>
      </c>
      <c r="B9" s="22">
        <v>7358957</v>
      </c>
      <c r="C9" s="23" t="s">
        <v>26</v>
      </c>
      <c r="D9" s="23" t="s">
        <v>26</v>
      </c>
      <c r="E9" s="23" t="s">
        <v>26</v>
      </c>
      <c r="F9" s="23" t="s">
        <v>26</v>
      </c>
      <c r="G9" s="23" t="s">
        <v>26</v>
      </c>
      <c r="H9" s="23" t="s">
        <v>26</v>
      </c>
      <c r="I9" s="23" t="s">
        <v>26</v>
      </c>
      <c r="J9" s="23" t="s">
        <v>26</v>
      </c>
      <c r="K9" s="23" t="s">
        <v>26</v>
      </c>
      <c r="L9" s="23" t="s">
        <v>26</v>
      </c>
      <c r="M9" s="23" t="s">
        <v>26</v>
      </c>
      <c r="N9" s="2"/>
      <c r="O9" s="2">
        <v>8008.7572657972541</v>
      </c>
      <c r="P9" s="29">
        <f t="shared" si="0"/>
        <v>4.7594620152481726E-2</v>
      </c>
    </row>
    <row r="10" spans="1:16" x14ac:dyDescent="0.25">
      <c r="A10" s="19">
        <v>1996</v>
      </c>
      <c r="B10" s="22">
        <v>7856655</v>
      </c>
      <c r="C10" s="23" t="s">
        <v>26</v>
      </c>
      <c r="D10" s="23" t="s">
        <v>26</v>
      </c>
      <c r="E10" s="23" t="s">
        <v>26</v>
      </c>
      <c r="F10" s="23" t="s">
        <v>26</v>
      </c>
      <c r="G10" s="23" t="s">
        <v>26</v>
      </c>
      <c r="H10" s="23" t="s">
        <v>26</v>
      </c>
      <c r="I10" s="23" t="s">
        <v>26</v>
      </c>
      <c r="J10" s="23" t="s">
        <v>26</v>
      </c>
      <c r="K10" s="23" t="s">
        <v>26</v>
      </c>
      <c r="L10" s="23" t="s">
        <v>26</v>
      </c>
      <c r="M10" s="23" t="s">
        <v>26</v>
      </c>
      <c r="N10" s="2"/>
      <c r="O10" s="2">
        <v>8208.9189933811067</v>
      </c>
      <c r="P10" s="29">
        <f t="shared" si="0"/>
        <v>2.4992857311168182E-2</v>
      </c>
    </row>
    <row r="11" spans="1:16" x14ac:dyDescent="0.25">
      <c r="A11" s="19">
        <v>1997</v>
      </c>
      <c r="B11" s="22">
        <v>8841732</v>
      </c>
      <c r="C11" s="23" t="s">
        <v>26</v>
      </c>
      <c r="D11" s="23" t="s">
        <v>26</v>
      </c>
      <c r="E11" s="23" t="s">
        <v>26</v>
      </c>
      <c r="F11" s="23" t="s">
        <v>26</v>
      </c>
      <c r="G11" s="23" t="s">
        <v>26</v>
      </c>
      <c r="H11" s="23" t="s">
        <v>26</v>
      </c>
      <c r="I11" s="23" t="s">
        <v>26</v>
      </c>
      <c r="J11" s="23" t="s">
        <v>26</v>
      </c>
      <c r="K11" s="23" t="s">
        <v>26</v>
      </c>
      <c r="L11" s="23" t="s">
        <v>26</v>
      </c>
      <c r="M11" s="23" t="s">
        <v>26</v>
      </c>
      <c r="N11" s="2"/>
      <c r="O11" s="2">
        <v>8505.4075313502854</v>
      </c>
      <c r="P11" s="29">
        <f t="shared" si="0"/>
        <v>3.6117854032697627E-2</v>
      </c>
    </row>
    <row r="12" spans="1:16" x14ac:dyDescent="0.25">
      <c r="A12" s="19">
        <v>1998</v>
      </c>
      <c r="B12" s="22">
        <v>9689841</v>
      </c>
      <c r="C12" s="23" t="s">
        <v>26</v>
      </c>
      <c r="D12" s="23" t="s">
        <v>26</v>
      </c>
      <c r="E12" s="23" t="s">
        <v>26</v>
      </c>
      <c r="F12" s="23" t="s">
        <v>26</v>
      </c>
      <c r="G12" s="23" t="s">
        <v>26</v>
      </c>
      <c r="H12" s="23" t="s">
        <v>26</v>
      </c>
      <c r="I12" s="23" t="s">
        <v>26</v>
      </c>
      <c r="J12" s="23" t="s">
        <v>26</v>
      </c>
      <c r="K12" s="23" t="s">
        <v>26</v>
      </c>
      <c r="L12" s="23" t="s">
        <v>26</v>
      </c>
      <c r="M12" s="23" t="s">
        <v>26</v>
      </c>
      <c r="N12" s="2"/>
      <c r="O12" s="2">
        <v>8504.2836248700423</v>
      </c>
      <c r="P12" s="29">
        <f t="shared" si="0"/>
        <v>-1.3214022680285709E-4</v>
      </c>
    </row>
    <row r="13" spans="1:16" x14ac:dyDescent="0.25">
      <c r="A13" s="19">
        <v>1999</v>
      </c>
      <c r="B13" s="22">
        <v>9032190</v>
      </c>
      <c r="C13" s="23" t="s">
        <v>26</v>
      </c>
      <c r="D13" s="23" t="s">
        <v>26</v>
      </c>
      <c r="E13" s="23" t="s">
        <v>26</v>
      </c>
      <c r="F13" s="23" t="s">
        <v>26</v>
      </c>
      <c r="G13" s="23" t="s">
        <v>26</v>
      </c>
      <c r="H13" s="23" t="s">
        <v>26</v>
      </c>
      <c r="I13" s="23" t="s">
        <v>26</v>
      </c>
      <c r="J13" s="23" t="s">
        <v>26</v>
      </c>
      <c r="K13" s="23" t="s">
        <v>26</v>
      </c>
      <c r="L13" s="23" t="s">
        <v>26</v>
      </c>
      <c r="M13" s="23" t="s">
        <v>26</v>
      </c>
      <c r="N13" s="2"/>
      <c r="O13" s="2">
        <v>8542.7931551679321</v>
      </c>
      <c r="P13" s="29">
        <f t="shared" si="0"/>
        <v>4.528250937594791E-3</v>
      </c>
    </row>
    <row r="14" spans="1:16" x14ac:dyDescent="0.25">
      <c r="A14" s="19">
        <v>2000</v>
      </c>
      <c r="B14" s="22">
        <v>9613310</v>
      </c>
      <c r="C14" s="2">
        <v>53.376022031000005</v>
      </c>
      <c r="D14" s="2">
        <f xml:space="preserve"> ((C14*10^3)*90)/10^3</f>
        <v>4803.8419827900007</v>
      </c>
      <c r="E14" s="2">
        <v>1954.6397572020001</v>
      </c>
      <c r="F14" s="2">
        <f xml:space="preserve"> (($E14*10^3)/90)</f>
        <v>21718.219524466669</v>
      </c>
      <c r="G14" s="2">
        <f xml:space="preserve"> SUM(D14,E14)</f>
        <v>6758.4817399920012</v>
      </c>
      <c r="H14" s="2">
        <f xml:space="preserve"> ($C14*10^3) + F14</f>
        <v>75094.24155546668</v>
      </c>
      <c r="I14" s="25">
        <v>4627</v>
      </c>
      <c r="J14" s="2">
        <f t="shared" ref="J14:J37" si="1" xml:space="preserve"> (807.5*48.2*I14)*10^3</f>
        <v>180089780500</v>
      </c>
      <c r="K14" s="2">
        <f>J14/(G14*10^6)</f>
        <v>26.646484732562602</v>
      </c>
      <c r="L14" s="2">
        <f>J14/(H14*10^6)</f>
        <v>2.3981836259306344</v>
      </c>
      <c r="M14" s="2">
        <f xml:space="preserve"> ((B14*10^6)/J14)</f>
        <v>53.380652546244846</v>
      </c>
      <c r="N14" s="2"/>
      <c r="O14" s="2">
        <v>8995.8518938602974</v>
      </c>
      <c r="P14" s="29">
        <f t="shared" si="0"/>
        <v>5.3034028854870296E-2</v>
      </c>
    </row>
    <row r="15" spans="1:16" x14ac:dyDescent="0.25">
      <c r="A15" s="19">
        <v>2001</v>
      </c>
      <c r="B15" s="22">
        <v>9884459</v>
      </c>
      <c r="C15" s="2">
        <v>51.345035597000006</v>
      </c>
      <c r="D15" s="2">
        <f t="shared" ref="D15:D37" si="2" xml:space="preserve"> ((C15*10^3)*90)/10^3</f>
        <v>4621.0532037300009</v>
      </c>
      <c r="E15" s="2">
        <v>1909.8107487010002</v>
      </c>
      <c r="F15" s="2">
        <f t="shared" ref="F15:F37" si="3" xml:space="preserve"> (($E15*10^3)/90)</f>
        <v>21220.119430011113</v>
      </c>
      <c r="G15" s="2">
        <f t="shared" ref="G15:G37" si="4" xml:space="preserve"> SUM(D15,E15)</f>
        <v>6530.8639524310011</v>
      </c>
      <c r="H15" s="2">
        <f t="shared" ref="H15:H37" si="5" xml:space="preserve"> ($C15*10^3) + F15</f>
        <v>72565.155027011118</v>
      </c>
      <c r="I15" s="25">
        <v>4659</v>
      </c>
      <c r="J15" s="2">
        <f t="shared" si="1"/>
        <v>181335268500</v>
      </c>
      <c r="K15" s="2">
        <f t="shared" ref="K15:K37" si="6">J15/(G15*10^6)</f>
        <v>27.765892816141285</v>
      </c>
      <c r="L15" s="2">
        <f t="shared" ref="L15:L37" si="7">J15/(H15*10^6)</f>
        <v>2.4989303534527156</v>
      </c>
      <c r="M15" s="2">
        <f t="shared" ref="M15:M37" si="8" xml:space="preserve"> ((B15*10^6)/J15)</f>
        <v>54.509302474714126</v>
      </c>
      <c r="N15" s="2"/>
      <c r="O15" s="2">
        <v>9203.8973385578374</v>
      </c>
      <c r="P15" s="29">
        <f t="shared" si="0"/>
        <v>2.3126819688920275E-2</v>
      </c>
    </row>
    <row r="16" spans="1:16" x14ac:dyDescent="0.25">
      <c r="A16" s="19">
        <v>2002</v>
      </c>
      <c r="B16" s="22">
        <v>9469108</v>
      </c>
      <c r="C16" s="2">
        <v>50.254793960999997</v>
      </c>
      <c r="D16" s="2">
        <f t="shared" si="2"/>
        <v>4522.9314564899996</v>
      </c>
      <c r="E16" s="2">
        <v>2089.6552224759998</v>
      </c>
      <c r="F16" s="2">
        <f t="shared" si="3"/>
        <v>23218.391360844442</v>
      </c>
      <c r="G16" s="2">
        <f t="shared" si="4"/>
        <v>6612.5866789659995</v>
      </c>
      <c r="H16" s="2">
        <f t="shared" si="5"/>
        <v>73473.185321844445</v>
      </c>
      <c r="I16" s="25">
        <v>4664</v>
      </c>
      <c r="J16" s="2">
        <f t="shared" si="1"/>
        <v>181529876000</v>
      </c>
      <c r="K16" s="2">
        <f t="shared" si="6"/>
        <v>27.45217337981051</v>
      </c>
      <c r="L16" s="2">
        <f t="shared" si="7"/>
        <v>2.4706956041829455</v>
      </c>
      <c r="M16" s="2">
        <f t="shared" si="8"/>
        <v>52.162807625120614</v>
      </c>
      <c r="N16" s="2"/>
      <c r="O16" s="2">
        <v>9511.453991252265</v>
      </c>
      <c r="P16" s="29">
        <f t="shared" si="0"/>
        <v>3.3415915169542565E-2</v>
      </c>
    </row>
    <row r="17" spans="1:16" x14ac:dyDescent="0.25">
      <c r="A17" s="19">
        <v>2003</v>
      </c>
      <c r="B17" s="22">
        <v>6771222</v>
      </c>
      <c r="C17" s="2">
        <v>50.301464779999996</v>
      </c>
      <c r="D17" s="2">
        <f t="shared" si="2"/>
        <v>4527.1318302</v>
      </c>
      <c r="E17" s="2">
        <v>1995.6600105060002</v>
      </c>
      <c r="F17" s="2">
        <f t="shared" si="3"/>
        <v>22174.000116733336</v>
      </c>
      <c r="G17" s="2">
        <f t="shared" si="4"/>
        <v>6522.7918407060006</v>
      </c>
      <c r="H17" s="2">
        <f t="shared" si="5"/>
        <v>72475.464896733334</v>
      </c>
      <c r="I17" s="25">
        <v>4032</v>
      </c>
      <c r="J17" s="2">
        <f t="shared" si="1"/>
        <v>156931488000</v>
      </c>
      <c r="K17" s="2">
        <f t="shared" si="6"/>
        <v>24.058944671613862</v>
      </c>
      <c r="L17" s="2">
        <f t="shared" si="7"/>
        <v>2.1653050204452478</v>
      </c>
      <c r="M17" s="2">
        <f t="shared" si="8"/>
        <v>43.147631404603771</v>
      </c>
      <c r="N17" s="2"/>
      <c r="O17" s="2">
        <v>9694.2657061455266</v>
      </c>
      <c r="P17" s="29">
        <f t="shared" si="0"/>
        <v>1.9220164978077436E-2</v>
      </c>
    </row>
    <row r="18" spans="1:16" x14ac:dyDescent="0.25">
      <c r="A18" s="19">
        <v>2004</v>
      </c>
      <c r="B18" s="22">
        <v>7226139</v>
      </c>
      <c r="C18" s="2">
        <v>55.928460839000003</v>
      </c>
      <c r="D18" s="2">
        <f t="shared" si="2"/>
        <v>5033.5614755100005</v>
      </c>
      <c r="E18" s="2">
        <v>2332.9972381140001</v>
      </c>
      <c r="F18" s="2">
        <f t="shared" si="3"/>
        <v>25922.191534600002</v>
      </c>
      <c r="G18" s="2">
        <f t="shared" si="4"/>
        <v>7366.558713624001</v>
      </c>
      <c r="H18" s="2">
        <f t="shared" si="5"/>
        <v>81850.652373600009</v>
      </c>
      <c r="I18" s="25">
        <v>4225</v>
      </c>
      <c r="J18" s="2">
        <f t="shared" si="1"/>
        <v>164443337500</v>
      </c>
      <c r="K18" s="2">
        <f t="shared" si="6"/>
        <v>22.322952126326239</v>
      </c>
      <c r="L18" s="2">
        <f t="shared" si="7"/>
        <v>2.0090656913693619</v>
      </c>
      <c r="M18" s="2">
        <f t="shared" si="8"/>
        <v>43.943032961125589</v>
      </c>
      <c r="N18" s="2"/>
      <c r="O18" s="2">
        <v>10409.076253461599</v>
      </c>
      <c r="P18" s="29">
        <f t="shared" si="0"/>
        <v>7.3735398738135505E-2</v>
      </c>
    </row>
    <row r="19" spans="1:16" x14ac:dyDescent="0.25">
      <c r="A19" s="19">
        <v>2005</v>
      </c>
      <c r="B19" s="22">
        <v>7843446</v>
      </c>
      <c r="C19" s="2">
        <v>66.813820539999995</v>
      </c>
      <c r="D19" s="2">
        <f t="shared" si="2"/>
        <v>6013.2438486000001</v>
      </c>
      <c r="E19" s="2">
        <v>2248.3734151509998</v>
      </c>
      <c r="F19" s="2">
        <f t="shared" si="3"/>
        <v>24981.926835011112</v>
      </c>
      <c r="G19" s="2">
        <f t="shared" si="4"/>
        <v>8261.617263750999</v>
      </c>
      <c r="H19" s="2">
        <f t="shared" si="5"/>
        <v>91795.747375011109</v>
      </c>
      <c r="I19" s="25">
        <v>4465.1662401639551</v>
      </c>
      <c r="J19" s="2">
        <f t="shared" si="1"/>
        <v>173790967816.54138</v>
      </c>
      <c r="K19" s="2">
        <f t="shared" si="6"/>
        <v>21.035950016599482</v>
      </c>
      <c r="L19" s="2">
        <f t="shared" si="7"/>
        <v>1.893235501493953</v>
      </c>
      <c r="M19" s="2">
        <f t="shared" si="8"/>
        <v>45.131493877632131</v>
      </c>
      <c r="N19" s="2"/>
      <c r="O19" s="2">
        <v>10956.122921052456</v>
      </c>
      <c r="P19" s="29">
        <f t="shared" si="0"/>
        <v>5.2554775685203836E-2</v>
      </c>
    </row>
    <row r="20" spans="1:16" x14ac:dyDescent="0.25">
      <c r="A20" s="19">
        <v>2006</v>
      </c>
      <c r="B20" s="22">
        <v>7357328</v>
      </c>
      <c r="C20" s="2">
        <v>72.203881308000007</v>
      </c>
      <c r="D20" s="2">
        <f t="shared" si="2"/>
        <v>6498.3493177200007</v>
      </c>
      <c r="E20" s="2">
        <v>2006.9671482210001</v>
      </c>
      <c r="F20" s="2">
        <f t="shared" si="3"/>
        <v>22299.634980233335</v>
      </c>
      <c r="G20" s="2">
        <f t="shared" si="4"/>
        <v>8505.3164659410013</v>
      </c>
      <c r="H20" s="2">
        <f t="shared" si="5"/>
        <v>94503.516288233339</v>
      </c>
      <c r="I20" s="25">
        <v>4465</v>
      </c>
      <c r="J20" s="2">
        <f t="shared" si="1"/>
        <v>173784497500</v>
      </c>
      <c r="K20" s="2">
        <f t="shared" si="6"/>
        <v>20.432455182109798</v>
      </c>
      <c r="L20" s="2">
        <f t="shared" si="7"/>
        <v>1.838920966389882</v>
      </c>
      <c r="M20" s="2">
        <f t="shared" si="8"/>
        <v>42.335928151473922</v>
      </c>
      <c r="N20" s="2"/>
      <c r="O20" s="2">
        <v>11615.640461704083</v>
      </c>
      <c r="P20" s="29">
        <f t="shared" si="0"/>
        <v>6.0196252397309857E-2</v>
      </c>
    </row>
    <row r="21" spans="1:16" x14ac:dyDescent="0.25">
      <c r="A21" s="19">
        <v>2007</v>
      </c>
      <c r="B21" s="22">
        <v>8078248</v>
      </c>
      <c r="C21" s="2">
        <v>79.406448315000006</v>
      </c>
      <c r="D21" s="2">
        <f t="shared" si="2"/>
        <v>7146.5803483500003</v>
      </c>
      <c r="E21" s="2">
        <v>1995.1700248130001</v>
      </c>
      <c r="F21" s="2">
        <f t="shared" si="3"/>
        <v>22168.555831255559</v>
      </c>
      <c r="G21" s="2">
        <f t="shared" si="4"/>
        <v>9141.7503731630004</v>
      </c>
      <c r="H21" s="2">
        <f t="shared" si="5"/>
        <v>101575.00414625555</v>
      </c>
      <c r="I21" s="25">
        <v>4891.6397550000002</v>
      </c>
      <c r="J21" s="2">
        <f t="shared" si="1"/>
        <v>190389956724.23248</v>
      </c>
      <c r="K21" s="2">
        <f t="shared" si="6"/>
        <v>20.826422616302363</v>
      </c>
      <c r="L21" s="2">
        <f t="shared" si="7"/>
        <v>1.8743780354672128</v>
      </c>
      <c r="M21" s="2">
        <f t="shared" si="8"/>
        <v>42.430011220081418</v>
      </c>
      <c r="N21" s="2"/>
      <c r="O21" s="2">
        <v>12524.568040644308</v>
      </c>
      <c r="P21" s="29">
        <f t="shared" si="0"/>
        <v>7.8250319639015409E-2</v>
      </c>
    </row>
    <row r="22" spans="1:16" x14ac:dyDescent="0.25">
      <c r="A22" s="19">
        <v>2008</v>
      </c>
      <c r="B22" s="22">
        <v>8634019</v>
      </c>
      <c r="C22" s="2">
        <v>86.714153589999995</v>
      </c>
      <c r="D22" s="2">
        <f t="shared" si="2"/>
        <v>7804.2738231000003</v>
      </c>
      <c r="E22" s="2">
        <v>1885.166983998</v>
      </c>
      <c r="F22" s="2">
        <f t="shared" si="3"/>
        <v>20946.299822199999</v>
      </c>
      <c r="G22" s="2">
        <f t="shared" si="4"/>
        <v>9689.4408070980007</v>
      </c>
      <c r="H22" s="2">
        <f t="shared" si="5"/>
        <v>107660.4534122</v>
      </c>
      <c r="I22" s="25">
        <v>5385.0270299999993</v>
      </c>
      <c r="J22" s="2">
        <f t="shared" si="1"/>
        <v>209593329548.14496</v>
      </c>
      <c r="K22" s="2">
        <f t="shared" si="6"/>
        <v>21.631106863732253</v>
      </c>
      <c r="L22" s="2">
        <f t="shared" si="7"/>
        <v>1.946799617735903</v>
      </c>
      <c r="M22" s="2">
        <f t="shared" si="8"/>
        <v>41.194149730880198</v>
      </c>
      <c r="N22" s="2"/>
      <c r="O22" s="2">
        <v>13284.394689893365</v>
      </c>
      <c r="P22" s="29">
        <f t="shared" si="0"/>
        <v>6.0666894601338228E-2</v>
      </c>
    </row>
    <row r="23" spans="1:16" x14ac:dyDescent="0.25">
      <c r="A23" s="19">
        <v>2009</v>
      </c>
      <c r="B23" s="22">
        <v>8684615</v>
      </c>
      <c r="C23" s="2">
        <v>94.356428561000001</v>
      </c>
      <c r="D23" s="2">
        <f t="shared" si="2"/>
        <v>8492.0785704900009</v>
      </c>
      <c r="E23" s="2">
        <v>1665.548948659</v>
      </c>
      <c r="F23" s="2">
        <f t="shared" si="3"/>
        <v>18506.099429544443</v>
      </c>
      <c r="G23" s="2">
        <f t="shared" si="4"/>
        <v>10157.627519149</v>
      </c>
      <c r="H23" s="2">
        <f t="shared" si="5"/>
        <v>112862.52799054445</v>
      </c>
      <c r="I23" s="25">
        <v>5475.6</v>
      </c>
      <c r="J23" s="2">
        <f t="shared" si="1"/>
        <v>213118565400</v>
      </c>
      <c r="K23" s="2">
        <f t="shared" si="6"/>
        <v>20.981136096813181</v>
      </c>
      <c r="L23" s="2">
        <f t="shared" si="7"/>
        <v>1.8883022487131862</v>
      </c>
      <c r="M23" s="2">
        <f t="shared" si="8"/>
        <v>40.750157001572987</v>
      </c>
      <c r="N23" s="2"/>
      <c r="O23" s="2">
        <v>13222.877694285769</v>
      </c>
      <c r="P23" s="29">
        <f t="shared" si="0"/>
        <v>-4.6307714460183114E-3</v>
      </c>
    </row>
    <row r="24" spans="1:16" x14ac:dyDescent="0.25">
      <c r="A24" s="19">
        <v>2010</v>
      </c>
      <c r="B24" s="22">
        <v>9792808</v>
      </c>
      <c r="C24" s="2">
        <v>114.38383960199999</v>
      </c>
      <c r="D24" s="2">
        <f t="shared" si="2"/>
        <v>10294.54556418</v>
      </c>
      <c r="E24" s="2">
        <v>2322.8588367319999</v>
      </c>
      <c r="F24" s="2">
        <f t="shared" si="3"/>
        <v>25809.542630355551</v>
      </c>
      <c r="G24" s="2">
        <f t="shared" si="4"/>
        <v>12617.404400912001</v>
      </c>
      <c r="H24" s="2">
        <f t="shared" si="5"/>
        <v>140193.38223235554</v>
      </c>
      <c r="I24" s="25">
        <v>6283.2124372428034</v>
      </c>
      <c r="J24" s="2">
        <f t="shared" si="1"/>
        <v>244552052876.14578</v>
      </c>
      <c r="K24" s="2">
        <f t="shared" si="6"/>
        <v>19.38212053015193</v>
      </c>
      <c r="L24" s="2">
        <f t="shared" si="7"/>
        <v>1.744390847713674</v>
      </c>
      <c r="M24" s="2">
        <f t="shared" si="8"/>
        <v>40.043859312682201</v>
      </c>
      <c r="N24" s="2"/>
      <c r="O24" s="2">
        <v>14256.559467777579</v>
      </c>
      <c r="P24" s="29">
        <f t="shared" si="0"/>
        <v>7.8173737774078544E-2</v>
      </c>
    </row>
    <row r="25" spans="1:16" x14ac:dyDescent="0.25">
      <c r="A25" s="19">
        <v>2011</v>
      </c>
      <c r="B25" s="22">
        <v>10946043</v>
      </c>
      <c r="C25" s="2">
        <v>132.39551621300001</v>
      </c>
      <c r="D25" s="2">
        <f t="shared" si="2"/>
        <v>11915.596459169999</v>
      </c>
      <c r="E25" s="2">
        <v>2724.3433670599998</v>
      </c>
      <c r="F25" s="2">
        <f t="shared" si="3"/>
        <v>30270.481856222217</v>
      </c>
      <c r="G25" s="2">
        <f t="shared" si="4"/>
        <v>14639.939826229998</v>
      </c>
      <c r="H25" s="2">
        <f t="shared" si="5"/>
        <v>162665.9980692222</v>
      </c>
      <c r="I25" s="25">
        <v>6979.3550269999996</v>
      </c>
      <c r="J25" s="2">
        <f t="shared" si="1"/>
        <v>271646966683.38049</v>
      </c>
      <c r="K25" s="2">
        <f t="shared" si="6"/>
        <v>18.55519694122497</v>
      </c>
      <c r="L25" s="2">
        <f t="shared" si="7"/>
        <v>1.6699677247102473</v>
      </c>
      <c r="M25" s="2">
        <f t="shared" si="8"/>
        <v>40.295104832730253</v>
      </c>
      <c r="N25" s="2"/>
      <c r="O25" s="2">
        <v>14989.157783757355</v>
      </c>
      <c r="P25" s="29">
        <f t="shared" si="0"/>
        <v>5.1386754120836819E-2</v>
      </c>
    </row>
    <row r="26" spans="1:16" x14ac:dyDescent="0.25">
      <c r="A26" s="19">
        <v>2012</v>
      </c>
      <c r="B26" s="22">
        <v>11542125</v>
      </c>
      <c r="C26" s="2">
        <v>142.116167856</v>
      </c>
      <c r="D26" s="2">
        <f t="shared" si="2"/>
        <v>12790.455107040001</v>
      </c>
      <c r="E26" s="2">
        <v>2555.843214343</v>
      </c>
      <c r="F26" s="2">
        <f t="shared" si="3"/>
        <v>28398.257937144448</v>
      </c>
      <c r="G26" s="2">
        <f t="shared" si="4"/>
        <v>15346.298321383001</v>
      </c>
      <c r="H26" s="2">
        <f t="shared" si="5"/>
        <v>170514.42579314447</v>
      </c>
      <c r="I26" s="25">
        <v>7320.6630000000005</v>
      </c>
      <c r="J26" s="2">
        <f t="shared" si="1"/>
        <v>284931184954.5</v>
      </c>
      <c r="K26" s="2">
        <f t="shared" si="6"/>
        <v>18.566769587522401</v>
      </c>
      <c r="L26" s="2">
        <f t="shared" si="7"/>
        <v>1.6710092628770161</v>
      </c>
      <c r="M26" s="2">
        <f t="shared" si="8"/>
        <v>40.508465234660555</v>
      </c>
      <c r="N26" s="2"/>
      <c r="O26" s="2">
        <v>14962.368438952964</v>
      </c>
      <c r="P26" s="29">
        <f t="shared" si="0"/>
        <v>-1.7872481690345277E-3</v>
      </c>
    </row>
    <row r="27" spans="1:16" x14ac:dyDescent="0.25">
      <c r="A27" s="19">
        <v>2013</v>
      </c>
      <c r="B27" s="22">
        <v>11078881</v>
      </c>
      <c r="C27" s="2">
        <v>146.64017536899999</v>
      </c>
      <c r="D27" s="2">
        <f t="shared" si="2"/>
        <v>13197.61578321</v>
      </c>
      <c r="E27" s="2">
        <v>2671.876238754</v>
      </c>
      <c r="F27" s="2">
        <f t="shared" si="3"/>
        <v>29687.513763933333</v>
      </c>
      <c r="G27" s="2">
        <f t="shared" si="4"/>
        <v>15869.492021964001</v>
      </c>
      <c r="H27" s="2">
        <f t="shared" si="5"/>
        <v>176327.68913293333</v>
      </c>
      <c r="I27" s="25">
        <v>7288.478000000001</v>
      </c>
      <c r="J27" s="2">
        <f t="shared" si="1"/>
        <v>283678496477.00006</v>
      </c>
      <c r="K27" s="2">
        <f t="shared" si="6"/>
        <v>17.875713733267446</v>
      </c>
      <c r="L27" s="2">
        <f t="shared" si="7"/>
        <v>1.6088142359940705</v>
      </c>
      <c r="M27" s="2">
        <f t="shared" si="8"/>
        <v>39.054356031875855</v>
      </c>
      <c r="N27" s="2"/>
      <c r="O27" s="2">
        <v>15469.535394491711</v>
      </c>
      <c r="P27" s="29">
        <f t="shared" si="0"/>
        <v>3.3896168083817013E-2</v>
      </c>
    </row>
    <row r="28" spans="1:16" x14ac:dyDescent="0.25">
      <c r="A28" s="19">
        <v>2014</v>
      </c>
      <c r="B28" s="22">
        <v>11206386</v>
      </c>
      <c r="C28" s="2">
        <v>157.39270220499998</v>
      </c>
      <c r="D28" s="2">
        <f t="shared" si="2"/>
        <v>14165.343198449998</v>
      </c>
      <c r="E28" s="2">
        <v>2791.9761928520002</v>
      </c>
      <c r="F28" s="2">
        <f t="shared" si="3"/>
        <v>31021.95769835556</v>
      </c>
      <c r="G28" s="2">
        <f t="shared" si="4"/>
        <v>16957.319391302</v>
      </c>
      <c r="H28" s="2">
        <f t="shared" si="5"/>
        <v>188414.65990335552</v>
      </c>
      <c r="I28" s="25">
        <v>7490.2559999999994</v>
      </c>
      <c r="J28" s="2">
        <f t="shared" si="1"/>
        <v>291531998904</v>
      </c>
      <c r="K28" s="2">
        <f t="shared" si="6"/>
        <v>17.192104021673195</v>
      </c>
      <c r="L28" s="2">
        <f t="shared" si="7"/>
        <v>1.5472893619505879</v>
      </c>
      <c r="M28" s="2">
        <f t="shared" si="8"/>
        <v>38.439643133960764</v>
      </c>
      <c r="N28" s="2"/>
      <c r="O28" s="2">
        <v>15564.800999963552</v>
      </c>
      <c r="P28" s="29">
        <f t="shared" si="0"/>
        <v>6.158271922359182E-3</v>
      </c>
    </row>
    <row r="29" spans="1:16" x14ac:dyDescent="0.25">
      <c r="A29" s="19">
        <v>2015</v>
      </c>
      <c r="B29" s="22">
        <v>11053349</v>
      </c>
      <c r="C29" s="88">
        <f xml:space="preserve"> C28*(1+0.9*Fig_historico_Kaya!P39)</f>
        <v>161.68868634407264</v>
      </c>
      <c r="D29" s="2">
        <f t="shared" si="2"/>
        <v>14551.981770966537</v>
      </c>
      <c r="E29" s="2">
        <v>2728.9560408150001</v>
      </c>
      <c r="F29" s="2">
        <f t="shared" si="3"/>
        <v>30321.733786833334</v>
      </c>
      <c r="G29" s="2">
        <f t="shared" si="4"/>
        <v>17280.937811781536</v>
      </c>
      <c r="H29" s="2">
        <f t="shared" si="5"/>
        <v>192010.42013090596</v>
      </c>
      <c r="I29" s="25">
        <v>7359.5254680851067</v>
      </c>
      <c r="J29" s="2">
        <f t="shared" si="1"/>
        <v>286443770506.07446</v>
      </c>
      <c r="K29" s="2">
        <f t="shared" si="6"/>
        <v>16.575707500711399</v>
      </c>
      <c r="L29" s="2">
        <f t="shared" si="7"/>
        <v>1.4918136750640261</v>
      </c>
      <c r="M29" s="2">
        <f t="shared" si="8"/>
        <v>38.588198236852904</v>
      </c>
      <c r="N29" s="2"/>
      <c r="O29" s="2">
        <v>14567.706061989085</v>
      </c>
      <c r="P29" s="29">
        <f t="shared" si="0"/>
        <v>-6.4060885711086257E-2</v>
      </c>
    </row>
    <row r="30" spans="1:16" x14ac:dyDescent="0.25">
      <c r="A30" s="19">
        <v>2016</v>
      </c>
      <c r="B30" s="22">
        <v>10114162</v>
      </c>
      <c r="C30" s="2">
        <v>151.72646445199999</v>
      </c>
      <c r="D30" s="2">
        <f t="shared" si="2"/>
        <v>13655.381800679999</v>
      </c>
      <c r="E30" s="2">
        <v>2677.9105025569997</v>
      </c>
      <c r="F30" s="2">
        <f t="shared" si="3"/>
        <v>29754.561139522219</v>
      </c>
      <c r="G30" s="2">
        <f t="shared" si="4"/>
        <v>16333.292303236998</v>
      </c>
      <c r="H30" s="2">
        <f t="shared" si="5"/>
        <v>181481.02559152219</v>
      </c>
      <c r="I30" s="25">
        <v>6794.0730000000003</v>
      </c>
      <c r="J30" s="2">
        <f t="shared" si="1"/>
        <v>264435512269.50003</v>
      </c>
      <c r="K30" s="2">
        <f t="shared" si="6"/>
        <v>16.189969992583379</v>
      </c>
      <c r="L30" s="2">
        <f t="shared" si="7"/>
        <v>1.457097299332504</v>
      </c>
      <c r="M30" s="2">
        <f t="shared" si="8"/>
        <v>38.248123004341906</v>
      </c>
      <c r="N30" s="2"/>
      <c r="O30" s="2">
        <v>14057.313247045055</v>
      </c>
      <c r="P30" s="29">
        <f t="shared" si="0"/>
        <v>-3.5035908383391767E-2</v>
      </c>
    </row>
    <row r="31" spans="1:16" x14ac:dyDescent="0.25">
      <c r="A31" s="19">
        <v>2017</v>
      </c>
      <c r="B31" s="22">
        <v>10077449</v>
      </c>
      <c r="C31" s="2">
        <v>156.25581878899999</v>
      </c>
      <c r="D31" s="2">
        <f t="shared" si="2"/>
        <v>14063.023691009997</v>
      </c>
      <c r="E31" s="2">
        <v>2794.038987288</v>
      </c>
      <c r="F31" s="2">
        <f t="shared" si="3"/>
        <v>31044.877636533332</v>
      </c>
      <c r="G31" s="2">
        <f t="shared" si="4"/>
        <v>16857.062678297996</v>
      </c>
      <c r="H31" s="2">
        <f t="shared" si="5"/>
        <v>187300.69642553333</v>
      </c>
      <c r="I31" s="25">
        <v>6694.18</v>
      </c>
      <c r="J31" s="2">
        <f t="shared" si="1"/>
        <v>260547526870</v>
      </c>
      <c r="K31" s="2">
        <f t="shared" si="6"/>
        <v>15.45628273693449</v>
      </c>
      <c r="L31" s="2">
        <f t="shared" si="7"/>
        <v>1.3910654463241039</v>
      </c>
      <c r="M31" s="2">
        <f t="shared" si="8"/>
        <v>38.67796835787329</v>
      </c>
      <c r="N31" s="2"/>
      <c r="O31" s="2">
        <v>14293.604639428509</v>
      </c>
      <c r="P31" s="29">
        <f t="shared" si="0"/>
        <v>1.6809143271608207E-2</v>
      </c>
    </row>
    <row r="32" spans="1:16" x14ac:dyDescent="0.25">
      <c r="A32" s="19">
        <v>2018</v>
      </c>
      <c r="B32" s="22">
        <v>10348324</v>
      </c>
      <c r="C32" s="2">
        <v>167.19784079499999</v>
      </c>
      <c r="D32" s="2">
        <f t="shared" si="2"/>
        <v>15047.805671550001</v>
      </c>
      <c r="E32" s="2">
        <v>3357.9307811150002</v>
      </c>
      <c r="F32" s="2">
        <f t="shared" si="3"/>
        <v>37310.342012388894</v>
      </c>
      <c r="G32" s="2">
        <f t="shared" si="4"/>
        <v>18405.736452665002</v>
      </c>
      <c r="H32" s="2">
        <f t="shared" si="5"/>
        <v>204508.18280738889</v>
      </c>
      <c r="I32" s="25">
        <v>7164.2070000000003</v>
      </c>
      <c r="J32" s="2">
        <f t="shared" si="1"/>
        <v>278841682750.5</v>
      </c>
      <c r="K32" s="2">
        <f t="shared" si="6"/>
        <v>15.149716147876603</v>
      </c>
      <c r="L32" s="2">
        <f t="shared" si="7"/>
        <v>1.3634744533088945</v>
      </c>
      <c r="M32" s="2">
        <f t="shared" si="8"/>
        <v>37.111825957740329</v>
      </c>
      <c r="N32" s="2"/>
      <c r="O32" s="2">
        <v>15165.063152657822</v>
      </c>
      <c r="P32" s="29">
        <f t="shared" si="0"/>
        <v>6.0968421557247909E-2</v>
      </c>
    </row>
    <row r="33" spans="1:16" x14ac:dyDescent="0.25">
      <c r="A33" s="19">
        <v>2019</v>
      </c>
      <c r="B33" s="22">
        <v>10117198</v>
      </c>
      <c r="C33" s="2">
        <v>168.44227433700001</v>
      </c>
      <c r="D33" s="2">
        <f t="shared" si="2"/>
        <v>15159.80469033</v>
      </c>
      <c r="E33" s="2">
        <v>3008.1193706980002</v>
      </c>
      <c r="F33" s="2">
        <f t="shared" si="3"/>
        <v>33423.548563311117</v>
      </c>
      <c r="G33" s="2">
        <f t="shared" si="4"/>
        <v>18167.924061027999</v>
      </c>
      <c r="H33" s="2">
        <f t="shared" si="5"/>
        <v>201865.82290031112</v>
      </c>
      <c r="I33" s="25">
        <v>6980.7759999999998</v>
      </c>
      <c r="J33" s="2">
        <f t="shared" si="1"/>
        <v>271702273084</v>
      </c>
      <c r="K33" s="2">
        <f t="shared" si="6"/>
        <v>14.955053322070425</v>
      </c>
      <c r="L33" s="2">
        <f t="shared" si="7"/>
        <v>1.3459547989863381</v>
      </c>
      <c r="M33" s="2">
        <f t="shared" si="8"/>
        <v>37.236339192760994</v>
      </c>
      <c r="N33" s="2"/>
      <c r="O33" s="2">
        <v>15741.478504874929</v>
      </c>
      <c r="P33" s="29">
        <f t="shared" si="0"/>
        <v>3.8009426430649862E-2</v>
      </c>
    </row>
    <row r="34" spans="1:16" x14ac:dyDescent="0.25">
      <c r="A34" s="19">
        <v>2020</v>
      </c>
      <c r="B34" s="22">
        <v>5814855</v>
      </c>
      <c r="C34" s="2">
        <v>69.440312754999994</v>
      </c>
      <c r="D34" s="2">
        <f t="shared" si="2"/>
        <v>6249.6281479499994</v>
      </c>
      <c r="E34" s="2">
        <v>2414.819966732</v>
      </c>
      <c r="F34" s="2">
        <f t="shared" si="3"/>
        <v>26831.332963688888</v>
      </c>
      <c r="G34" s="2">
        <f t="shared" si="4"/>
        <v>8664.4481146819999</v>
      </c>
      <c r="H34" s="2">
        <f t="shared" si="5"/>
        <v>96271.645718688873</v>
      </c>
      <c r="I34" s="25">
        <v>3546</v>
      </c>
      <c r="J34" s="2">
        <f t="shared" si="1"/>
        <v>138015639000</v>
      </c>
      <c r="K34" s="2">
        <f t="shared" si="6"/>
        <v>15.928959025806968</v>
      </c>
      <c r="L34" s="2">
        <f t="shared" si="7"/>
        <v>1.4336063123226273</v>
      </c>
      <c r="M34" s="2">
        <f t="shared" si="8"/>
        <v>42.131855796428979</v>
      </c>
      <c r="N34" s="2"/>
      <c r="O34" s="2">
        <v>15759.078230080322</v>
      </c>
      <c r="P34" s="29">
        <f t="shared" si="0"/>
        <v>1.1180477869308092E-3</v>
      </c>
    </row>
    <row r="35" spans="1:16" x14ac:dyDescent="0.25">
      <c r="A35" s="19">
        <v>2021</v>
      </c>
      <c r="B35" s="22">
        <v>7712072</v>
      </c>
      <c r="C35" s="2">
        <v>87.453198087000004</v>
      </c>
      <c r="D35" s="2">
        <f t="shared" si="2"/>
        <v>7870.7878278299995</v>
      </c>
      <c r="E35" s="2">
        <v>3276.8287294619995</v>
      </c>
      <c r="F35" s="2">
        <f t="shared" si="3"/>
        <v>36409.20810513333</v>
      </c>
      <c r="G35" s="2">
        <f t="shared" si="4"/>
        <v>11147.616557292</v>
      </c>
      <c r="H35" s="2">
        <f t="shared" si="5"/>
        <v>123862.40619213332</v>
      </c>
      <c r="I35" s="25">
        <v>4385.0780000000004</v>
      </c>
      <c r="J35" s="2">
        <f t="shared" si="1"/>
        <v>170673813377</v>
      </c>
      <c r="K35" s="2">
        <f t="shared" si="6"/>
        <v>15.310341228534362</v>
      </c>
      <c r="L35" s="2">
        <f t="shared" si="7"/>
        <v>1.3779307105680929</v>
      </c>
      <c r="M35" s="2">
        <f t="shared" si="8"/>
        <v>45.186029698445111</v>
      </c>
      <c r="N35" s="2"/>
      <c r="O35" s="2">
        <v>17672.916803465458</v>
      </c>
      <c r="P35" s="29">
        <f t="shared" si="0"/>
        <v>0.12144356068567985</v>
      </c>
    </row>
    <row r="36" spans="1:16" x14ac:dyDescent="0.25">
      <c r="A36" s="19">
        <v>2022</v>
      </c>
      <c r="B36" s="22">
        <v>9552676</v>
      </c>
      <c r="C36" s="2">
        <v>141.30989297159999</v>
      </c>
      <c r="D36" s="2">
        <f t="shared" si="2"/>
        <v>12717.890367443999</v>
      </c>
      <c r="E36" s="2">
        <v>3151.798699765</v>
      </c>
      <c r="F36" s="2">
        <f t="shared" si="3"/>
        <v>35019.985552944447</v>
      </c>
      <c r="G36" s="2">
        <f t="shared" si="4"/>
        <v>15869.689067208999</v>
      </c>
      <c r="H36" s="2">
        <f t="shared" si="5"/>
        <v>176329.87852454445</v>
      </c>
      <c r="I36" s="25">
        <v>5996.2236497344675</v>
      </c>
      <c r="J36" s="2">
        <f t="shared" si="1"/>
        <v>233382018783.14008</v>
      </c>
      <c r="K36" s="2">
        <f t="shared" si="6"/>
        <v>14.706149427046395</v>
      </c>
      <c r="L36" s="2">
        <f t="shared" si="7"/>
        <v>1.3235534484341756</v>
      </c>
      <c r="M36" s="2">
        <f t="shared" si="8"/>
        <v>40.931499563710609</v>
      </c>
      <c r="N36" s="2"/>
      <c r="O36" s="2">
        <v>19398.589813344617</v>
      </c>
      <c r="P36" s="29">
        <f t="shared" si="0"/>
        <v>9.7645059333995921E-2</v>
      </c>
    </row>
    <row r="37" spans="1:16" x14ac:dyDescent="0.25">
      <c r="A37" s="19">
        <v>2023</v>
      </c>
      <c r="B37" s="22">
        <v>10042811</v>
      </c>
      <c r="C37" s="2">
        <v>161.86390288799998</v>
      </c>
      <c r="D37" s="2">
        <f t="shared" si="2"/>
        <v>14567.75125992</v>
      </c>
      <c r="E37" s="2">
        <v>3088.471982299</v>
      </c>
      <c r="F37" s="2">
        <f t="shared" si="3"/>
        <v>34316.35535887778</v>
      </c>
      <c r="G37" s="2">
        <f t="shared" si="4"/>
        <v>17656.223242218999</v>
      </c>
      <c r="H37" s="2">
        <f t="shared" si="5"/>
        <v>196180.25824687775</v>
      </c>
      <c r="I37" s="25">
        <v>6719.3114740089895</v>
      </c>
      <c r="J37" s="2">
        <f t="shared" si="1"/>
        <v>261525681535.6409</v>
      </c>
      <c r="K37" s="2">
        <f t="shared" si="6"/>
        <v>14.812096445987896</v>
      </c>
      <c r="L37" s="2">
        <f t="shared" si="7"/>
        <v>1.3330886801389106</v>
      </c>
      <c r="M37" s="2">
        <f t="shared" si="8"/>
        <v>38.400859682422272</v>
      </c>
      <c r="N37" s="2"/>
      <c r="O37" s="2">
        <v>20584.419166157877</v>
      </c>
      <c r="P37" s="29">
        <f t="shared" si="0"/>
        <v>6.1129667889441519E-2</v>
      </c>
    </row>
    <row r="39" spans="1:16" ht="60" x14ac:dyDescent="0.25">
      <c r="O39" s="4" t="s">
        <v>66</v>
      </c>
      <c r="P39" s="33" cm="1">
        <f t="array" ref="P39">PRODUCT(1+P5:P33)^(1/($A$33-$A$4))-1</f>
        <v>3.0327427150107722E-2</v>
      </c>
    </row>
    <row r="40" spans="1:16" ht="45" customHeight="1" x14ac:dyDescent="0.25">
      <c r="A40" s="110" t="s">
        <v>0</v>
      </c>
      <c r="B40" s="111" t="s">
        <v>48</v>
      </c>
      <c r="C40" s="4" t="s">
        <v>47</v>
      </c>
      <c r="D40" s="4" t="s">
        <v>57</v>
      </c>
      <c r="E40" s="4" t="s">
        <v>47</v>
      </c>
      <c r="F40" s="4" t="s">
        <v>57</v>
      </c>
      <c r="G40" s="4" t="s">
        <v>14</v>
      </c>
      <c r="H40" s="4"/>
      <c r="I40" s="4" t="s">
        <v>55</v>
      </c>
      <c r="J40" s="4" t="s">
        <v>44</v>
      </c>
      <c r="K40" s="4" t="s">
        <v>14</v>
      </c>
      <c r="L40" s="4" t="s">
        <v>14</v>
      </c>
      <c r="M40" s="4" t="s">
        <v>14</v>
      </c>
      <c r="O40" s="4" t="s">
        <v>15</v>
      </c>
    </row>
    <row r="41" spans="1:16" ht="85.5" customHeight="1" x14ac:dyDescent="0.25">
      <c r="A41" s="110"/>
      <c r="B41" s="111"/>
      <c r="C41" s="104" t="s">
        <v>61</v>
      </c>
      <c r="D41" s="4" t="s">
        <v>58</v>
      </c>
      <c r="E41" s="104" t="s">
        <v>61</v>
      </c>
      <c r="F41" s="4" t="s">
        <v>64</v>
      </c>
      <c r="G41" s="4" t="s">
        <v>58</v>
      </c>
      <c r="H41" s="4" t="s">
        <v>64</v>
      </c>
      <c r="I41" s="104"/>
      <c r="J41" s="4" t="s">
        <v>42</v>
      </c>
      <c r="K41" s="4" t="s">
        <v>16</v>
      </c>
      <c r="L41" s="4" t="s">
        <v>17</v>
      </c>
      <c r="M41" s="4" t="s">
        <v>65</v>
      </c>
      <c r="O41" s="105" t="s">
        <v>46</v>
      </c>
    </row>
    <row r="42" spans="1:16" ht="105" x14ac:dyDescent="0.25">
      <c r="A42" s="110"/>
      <c r="B42" s="111"/>
      <c r="C42" s="104"/>
      <c r="D42" s="4" t="s">
        <v>59</v>
      </c>
      <c r="E42" s="104"/>
      <c r="F42" s="104" t="s">
        <v>62</v>
      </c>
      <c r="G42" s="4" t="s">
        <v>59</v>
      </c>
      <c r="H42" s="104" t="s">
        <v>62</v>
      </c>
      <c r="I42" s="104"/>
      <c r="J42" s="104" t="s">
        <v>43</v>
      </c>
      <c r="K42" s="104" t="s">
        <v>18</v>
      </c>
      <c r="L42" s="104" t="s">
        <v>18</v>
      </c>
      <c r="M42" s="104" t="s">
        <v>19</v>
      </c>
      <c r="O42" s="105"/>
      <c r="P42" s="31"/>
    </row>
    <row r="43" spans="1:16" ht="36" customHeight="1" x14ac:dyDescent="0.25">
      <c r="A43" s="110"/>
      <c r="B43" s="111"/>
      <c r="C43" s="104"/>
      <c r="D43" s="104" t="s">
        <v>60</v>
      </c>
      <c r="E43" s="104"/>
      <c r="F43" s="104"/>
      <c r="G43" s="4" t="s">
        <v>60</v>
      </c>
      <c r="H43" s="104"/>
      <c r="I43" s="104"/>
      <c r="J43" s="104"/>
      <c r="K43" s="104"/>
      <c r="L43" s="104"/>
      <c r="M43" s="104"/>
      <c r="N43" s="4"/>
      <c r="O43" s="4"/>
      <c r="P43" s="31"/>
    </row>
    <row r="44" spans="1:16" x14ac:dyDescent="0.25">
      <c r="A44" s="110"/>
      <c r="B44" s="111"/>
      <c r="C44" s="104"/>
      <c r="D44" s="104"/>
      <c r="E44" s="104"/>
      <c r="F44" s="104"/>
      <c r="G44" s="4" t="s">
        <v>63</v>
      </c>
      <c r="H44" s="104"/>
      <c r="I44" s="104"/>
      <c r="J44" s="104"/>
      <c r="K44" s="104"/>
      <c r="L44" s="104"/>
      <c r="M44" s="104"/>
      <c r="N44" s="4"/>
      <c r="O44" s="4"/>
      <c r="P44" s="31"/>
    </row>
    <row r="47" spans="1:16" x14ac:dyDescent="0.25">
      <c r="A47" t="s">
        <v>20</v>
      </c>
      <c r="B47" t="s">
        <v>21</v>
      </c>
    </row>
    <row r="48" spans="1:16" ht="15.75" thickBot="1" x14ac:dyDescent="0.3">
      <c r="B48" t="s">
        <v>22</v>
      </c>
      <c r="C48">
        <v>0.77743872633051014</v>
      </c>
      <c r="F48" s="107" t="s">
        <v>40</v>
      </c>
      <c r="G48" s="108"/>
      <c r="H48" s="108"/>
      <c r="I48" s="108"/>
      <c r="J48" s="4"/>
      <c r="K48" s="109" t="s">
        <v>27</v>
      </c>
      <c r="L48" t="s">
        <v>41</v>
      </c>
    </row>
    <row r="49" spans="2:11" x14ac:dyDescent="0.25">
      <c r="B49" t="s">
        <v>23</v>
      </c>
      <c r="C49">
        <v>0.2225612736694898</v>
      </c>
      <c r="F49" s="9" t="s">
        <v>29</v>
      </c>
      <c r="G49" s="9" t="s">
        <v>30</v>
      </c>
      <c r="H49" s="9" t="s">
        <v>31</v>
      </c>
      <c r="I49" s="9" t="s">
        <v>32</v>
      </c>
      <c r="J49" s="9"/>
      <c r="K49" s="109"/>
    </row>
    <row r="50" spans="2:11" x14ac:dyDescent="0.25">
      <c r="F50">
        <v>524.04623790000005</v>
      </c>
      <c r="G50">
        <v>425.545662204</v>
      </c>
      <c r="H50">
        <v>0</v>
      </c>
      <c r="I50">
        <v>1005.047857098</v>
      </c>
      <c r="K50">
        <f>SUM(F50:I50)</f>
        <v>1954.6397572020001</v>
      </c>
    </row>
    <row r="51" spans="2:11" x14ac:dyDescent="0.25">
      <c r="B51" t="s">
        <v>24</v>
      </c>
      <c r="F51">
        <v>508.678032976</v>
      </c>
      <c r="G51">
        <v>377.51816633800001</v>
      </c>
      <c r="H51">
        <v>0</v>
      </c>
      <c r="I51">
        <v>1023.614549387</v>
      </c>
      <c r="K51">
        <f t="shared" ref="K51:K73" si="9">SUM(F51:I51)</f>
        <v>1909.8107487010002</v>
      </c>
    </row>
    <row r="52" spans="2:11" x14ac:dyDescent="0.25">
      <c r="B52" t="s">
        <v>22</v>
      </c>
      <c r="C52">
        <v>0.65219805966422129</v>
      </c>
      <c r="F52">
        <v>508.26639697899998</v>
      </c>
      <c r="G52">
        <v>466.07935888100002</v>
      </c>
      <c r="H52">
        <v>0</v>
      </c>
      <c r="I52">
        <v>1115.309466616</v>
      </c>
      <c r="K52">
        <f t="shared" si="9"/>
        <v>2089.6552224759998</v>
      </c>
    </row>
    <row r="53" spans="2:11" x14ac:dyDescent="0.25">
      <c r="B53" t="s">
        <v>23</v>
      </c>
      <c r="C53">
        <v>0.18494693909707469</v>
      </c>
      <c r="F53">
        <v>438.890106661</v>
      </c>
      <c r="G53">
        <v>466.89092508300001</v>
      </c>
      <c r="H53">
        <v>0</v>
      </c>
      <c r="I53">
        <v>1089.8789787620001</v>
      </c>
      <c r="K53">
        <f t="shared" si="9"/>
        <v>1995.6600105060002</v>
      </c>
    </row>
    <row r="54" spans="2:11" x14ac:dyDescent="0.25">
      <c r="F54">
        <v>624.87247252199995</v>
      </c>
      <c r="G54">
        <v>502.03929968800003</v>
      </c>
      <c r="H54">
        <v>0</v>
      </c>
      <c r="I54">
        <v>1206.0854659040001</v>
      </c>
      <c r="K54">
        <f t="shared" si="9"/>
        <v>2332.9972381140001</v>
      </c>
    </row>
    <row r="55" spans="2:11" x14ac:dyDescent="0.25">
      <c r="B55" t="s">
        <v>25</v>
      </c>
      <c r="C55">
        <v>0.29280064679371848</v>
      </c>
      <c r="F55">
        <v>616.29128287399999</v>
      </c>
      <c r="G55">
        <v>491.42022990200002</v>
      </c>
      <c r="H55">
        <v>0</v>
      </c>
      <c r="I55">
        <v>1140.661902375</v>
      </c>
      <c r="K55">
        <f t="shared" si="9"/>
        <v>2248.3734151509998</v>
      </c>
    </row>
    <row r="56" spans="2:11" x14ac:dyDescent="0.25">
      <c r="F56">
        <v>580.89656705100003</v>
      </c>
      <c r="G56">
        <v>278.29086940299999</v>
      </c>
      <c r="H56">
        <v>0</v>
      </c>
      <c r="I56">
        <v>1147.779711767</v>
      </c>
      <c r="K56">
        <f t="shared" si="9"/>
        <v>2006.9671482210001</v>
      </c>
    </row>
    <row r="57" spans="2:11" x14ac:dyDescent="0.25">
      <c r="F57">
        <v>616.67018343100005</v>
      </c>
      <c r="G57">
        <v>213.21854379800001</v>
      </c>
      <c r="H57">
        <v>0</v>
      </c>
      <c r="I57">
        <v>1165.281297584</v>
      </c>
      <c r="K57">
        <f t="shared" si="9"/>
        <v>1995.1700248130001</v>
      </c>
    </row>
    <row r="58" spans="2:11" x14ac:dyDescent="0.25">
      <c r="F58">
        <v>616.08860406400004</v>
      </c>
      <c r="G58">
        <v>85.900357709999994</v>
      </c>
      <c r="H58">
        <v>0</v>
      </c>
      <c r="I58">
        <v>1183.178022224</v>
      </c>
      <c r="K58">
        <f t="shared" si="9"/>
        <v>1885.166983998</v>
      </c>
    </row>
    <row r="59" spans="2:11" x14ac:dyDescent="0.25">
      <c r="F59">
        <v>612.94157292499995</v>
      </c>
      <c r="G59">
        <v>49.620350987999998</v>
      </c>
      <c r="H59">
        <v>0</v>
      </c>
      <c r="I59">
        <v>1002.987024746</v>
      </c>
      <c r="K59">
        <f t="shared" si="9"/>
        <v>1665.548948659</v>
      </c>
    </row>
    <row r="60" spans="2:11" x14ac:dyDescent="0.25">
      <c r="F60">
        <v>727.84118176599998</v>
      </c>
      <c r="G60">
        <v>167.111415118</v>
      </c>
      <c r="H60">
        <v>0</v>
      </c>
      <c r="I60">
        <v>1427.906239848</v>
      </c>
      <c r="K60">
        <f t="shared" si="9"/>
        <v>2322.8588367319999</v>
      </c>
    </row>
    <row r="61" spans="2:11" x14ac:dyDescent="0.25">
      <c r="F61">
        <v>752.96274171599998</v>
      </c>
      <c r="G61">
        <v>406.30665594599998</v>
      </c>
      <c r="H61">
        <v>0</v>
      </c>
      <c r="I61">
        <v>1565.0739693979999</v>
      </c>
      <c r="K61">
        <f t="shared" si="9"/>
        <v>2724.3433670599998</v>
      </c>
    </row>
    <row r="62" spans="2:11" x14ac:dyDescent="0.25">
      <c r="F62">
        <v>727.07492453299994</v>
      </c>
      <c r="G62">
        <v>369.884986357</v>
      </c>
      <c r="H62">
        <v>0</v>
      </c>
      <c r="I62">
        <v>1458.8833034530001</v>
      </c>
      <c r="K62">
        <f t="shared" si="9"/>
        <v>2555.843214343</v>
      </c>
    </row>
    <row r="63" spans="2:11" x14ac:dyDescent="0.25">
      <c r="F63">
        <v>772.22360734100005</v>
      </c>
      <c r="G63">
        <v>489.76657280299997</v>
      </c>
      <c r="H63">
        <v>0</v>
      </c>
      <c r="I63">
        <v>1409.88605861</v>
      </c>
      <c r="K63">
        <f t="shared" si="9"/>
        <v>2671.876238754</v>
      </c>
    </row>
    <row r="64" spans="2:11" x14ac:dyDescent="0.25">
      <c r="F64">
        <v>762.71514906699997</v>
      </c>
      <c r="G64">
        <v>488.09602092300003</v>
      </c>
      <c r="H64">
        <v>0</v>
      </c>
      <c r="I64">
        <v>1541.1650228619999</v>
      </c>
      <c r="K64">
        <f t="shared" si="9"/>
        <v>2791.9761928520002</v>
      </c>
    </row>
    <row r="65" spans="6:12" x14ac:dyDescent="0.25">
      <c r="F65">
        <v>674.09959603100003</v>
      </c>
      <c r="G65">
        <v>468.78981133299999</v>
      </c>
      <c r="H65">
        <v>0</v>
      </c>
      <c r="I65">
        <v>1586.0666334509999</v>
      </c>
      <c r="K65">
        <f t="shared" si="9"/>
        <v>2728.9560408150001</v>
      </c>
    </row>
    <row r="66" spans="6:12" x14ac:dyDescent="0.25">
      <c r="F66">
        <v>635.40981849399998</v>
      </c>
      <c r="G66">
        <v>445.83714189900002</v>
      </c>
      <c r="H66">
        <v>0</v>
      </c>
      <c r="I66">
        <v>1596.6635421640001</v>
      </c>
      <c r="K66">
        <f t="shared" si="9"/>
        <v>2677.9105025569997</v>
      </c>
    </row>
    <row r="67" spans="6:12" x14ac:dyDescent="0.25">
      <c r="F67">
        <v>652.13185151899995</v>
      </c>
      <c r="G67">
        <v>485.19246974800001</v>
      </c>
      <c r="H67">
        <v>0</v>
      </c>
      <c r="I67">
        <v>1656.7146660210001</v>
      </c>
      <c r="K67">
        <f t="shared" si="9"/>
        <v>2794.038987288</v>
      </c>
    </row>
    <row r="68" spans="6:12" x14ac:dyDescent="0.25">
      <c r="F68">
        <v>706.07079268300004</v>
      </c>
      <c r="G68">
        <v>685.79500249099999</v>
      </c>
      <c r="H68">
        <v>0</v>
      </c>
      <c r="I68">
        <v>1966.064985941</v>
      </c>
      <c r="K68">
        <f t="shared" si="9"/>
        <v>3357.9307811150002</v>
      </c>
    </row>
    <row r="69" spans="6:12" x14ac:dyDescent="0.25">
      <c r="F69">
        <v>678.49213357799999</v>
      </c>
      <c r="G69">
        <v>597.19405505500004</v>
      </c>
      <c r="H69">
        <v>0</v>
      </c>
      <c r="I69">
        <v>1732.433182065</v>
      </c>
      <c r="K69">
        <f t="shared" si="9"/>
        <v>3008.1193706980002</v>
      </c>
    </row>
    <row r="70" spans="6:12" x14ac:dyDescent="0.25">
      <c r="F70">
        <v>552.61435425499997</v>
      </c>
      <c r="G70">
        <v>292.81573286899999</v>
      </c>
      <c r="H70">
        <v>0</v>
      </c>
      <c r="I70">
        <v>1569.389879608</v>
      </c>
      <c r="K70">
        <f t="shared" si="9"/>
        <v>2414.819966732</v>
      </c>
    </row>
    <row r="71" spans="6:12" x14ac:dyDescent="0.25">
      <c r="F71">
        <v>659.64939310099999</v>
      </c>
      <c r="G71">
        <v>326.304867742</v>
      </c>
      <c r="H71">
        <v>0</v>
      </c>
      <c r="I71">
        <v>2290.8744686189998</v>
      </c>
      <c r="K71">
        <f t="shared" si="9"/>
        <v>3276.8287294619995</v>
      </c>
    </row>
    <row r="72" spans="6:12" x14ac:dyDescent="0.25">
      <c r="F72">
        <v>684.30747550600006</v>
      </c>
      <c r="G72">
        <v>463.602870037</v>
      </c>
      <c r="H72">
        <v>0</v>
      </c>
      <c r="I72">
        <v>2003.8883542220001</v>
      </c>
      <c r="K72">
        <f t="shared" si="9"/>
        <v>3151.798699765</v>
      </c>
    </row>
    <row r="73" spans="6:12" x14ac:dyDescent="0.25">
      <c r="F73">
        <v>686.11504542099999</v>
      </c>
      <c r="G73">
        <v>492.36557411299998</v>
      </c>
      <c r="H73">
        <v>0</v>
      </c>
      <c r="I73">
        <v>1909.9913627650001</v>
      </c>
      <c r="K73">
        <f t="shared" si="9"/>
        <v>3088.471982299</v>
      </c>
    </row>
    <row r="77" spans="6:12" x14ac:dyDescent="0.25">
      <c r="H77" s="11">
        <f>[1]Dados!M79</f>
        <v>799.58598615599999</v>
      </c>
      <c r="I77" s="11">
        <f>[1]Dados!AB79</f>
        <v>239.87890859800001</v>
      </c>
      <c r="J77" s="11">
        <f>[1]Dados!AP79</f>
        <v>0</v>
      </c>
      <c r="K77" s="11">
        <f>[1]Dados!BD79</f>
        <v>644.07231084600005</v>
      </c>
      <c r="L77" s="24">
        <f>SUM(H77:K77)</f>
        <v>1683.5372056000001</v>
      </c>
    </row>
    <row r="78" spans="6:12" x14ac:dyDescent="0.25">
      <c r="H78" s="11">
        <f>[1]Dados!M80</f>
        <v>781.48405495899999</v>
      </c>
      <c r="I78" s="11">
        <f>[1]Dados!AB80</f>
        <v>244.68841391999999</v>
      </c>
      <c r="J78" s="11">
        <f>[1]Dados!AP80</f>
        <v>0</v>
      </c>
      <c r="K78" s="11">
        <f>[1]Dados!BD80</f>
        <v>634.62973430099998</v>
      </c>
      <c r="L78" s="24">
        <f t="shared" ref="L78:L100" si="10">SUM(H78:K78)</f>
        <v>1660.8022031800001</v>
      </c>
    </row>
    <row r="79" spans="6:12" x14ac:dyDescent="0.25">
      <c r="H79" s="11">
        <f>[1]Dados!M81</f>
        <v>869.58993976600004</v>
      </c>
      <c r="I79" s="11">
        <f>[1]Dados!AB81</f>
        <v>283.79225563</v>
      </c>
      <c r="J79" s="11">
        <f>[1]Dados!AP81</f>
        <v>0</v>
      </c>
      <c r="K79" s="11">
        <f>[1]Dados!BD81</f>
        <v>698.47408872400001</v>
      </c>
      <c r="L79" s="24">
        <f t="shared" si="10"/>
        <v>1851.8562841200001</v>
      </c>
    </row>
    <row r="80" spans="6:12" x14ac:dyDescent="0.25">
      <c r="H80" s="11">
        <f>[1]Dados!M82</f>
        <v>910.44059832900007</v>
      </c>
      <c r="I80" s="11">
        <f>[1]Dados!AB82</f>
        <v>276.52130291000003</v>
      </c>
      <c r="J80" s="11">
        <f>[1]Dados!AP82</f>
        <v>0</v>
      </c>
      <c r="K80" s="11">
        <f>[1]Dados!BD82</f>
        <v>680.74048176300005</v>
      </c>
      <c r="L80" s="24">
        <f t="shared" si="10"/>
        <v>1867.7023830020003</v>
      </c>
    </row>
    <row r="81" spans="8:12" x14ac:dyDescent="0.25">
      <c r="H81" s="11">
        <f>[1]Dados!M83</f>
        <v>747.13460888599991</v>
      </c>
      <c r="I81" s="11">
        <f>[1]Dados!AB83</f>
        <v>256.98940538099998</v>
      </c>
      <c r="J81" s="11">
        <f>[1]Dados!AP83</f>
        <v>0</v>
      </c>
      <c r="K81" s="11">
        <f>[1]Dados!BD83</f>
        <v>659.4533353999999</v>
      </c>
      <c r="L81" s="24">
        <f t="shared" si="10"/>
        <v>1663.5773496669999</v>
      </c>
    </row>
    <row r="82" spans="8:12" x14ac:dyDescent="0.25">
      <c r="H82" s="11">
        <f>[1]Dados!M84</f>
        <v>523.55985092799995</v>
      </c>
      <c r="I82" s="11">
        <f>[1]Dados!AB84</f>
        <v>170.90000192700001</v>
      </c>
      <c r="J82" s="11">
        <f>[1]Dados!AP84</f>
        <v>0</v>
      </c>
      <c r="K82" s="11">
        <f>[1]Dados!BD84</f>
        <v>525.55812474799995</v>
      </c>
      <c r="L82" s="24">
        <f t="shared" si="10"/>
        <v>1220.017977603</v>
      </c>
    </row>
    <row r="83" spans="8:12" x14ac:dyDescent="0.25">
      <c r="H83" s="11">
        <f>[1]Dados!M85</f>
        <v>85.886514084999988</v>
      </c>
      <c r="I83" s="11">
        <f>[1]Dados!AB85</f>
        <v>18.193749513</v>
      </c>
      <c r="J83" s="11">
        <f>[1]Dados!AP85</f>
        <v>0</v>
      </c>
      <c r="K83" s="11">
        <f>[1]Dados!BD85</f>
        <v>175.82053409899999</v>
      </c>
      <c r="L83" s="24">
        <f t="shared" si="10"/>
        <v>279.90079769699997</v>
      </c>
    </row>
    <row r="84" spans="8:12" x14ac:dyDescent="0.25">
      <c r="H84" s="11">
        <f>[1]Dados!M86</f>
        <v>119.10151382800001</v>
      </c>
      <c r="I84" s="11">
        <f>[1]Dados!AB86</f>
        <v>33.755812869000003</v>
      </c>
      <c r="J84" s="11">
        <f>[1]Dados!AP86</f>
        <v>0</v>
      </c>
      <c r="K84" s="11">
        <f>[1]Dados!BD86</f>
        <v>200.405955312</v>
      </c>
      <c r="L84" s="24">
        <f t="shared" si="10"/>
        <v>353.26328200900002</v>
      </c>
    </row>
    <row r="85" spans="8:12" x14ac:dyDescent="0.25">
      <c r="H85" s="11">
        <f>[1]Dados!M87</f>
        <v>158.56574995700001</v>
      </c>
      <c r="I85" s="11">
        <f>[1]Dados!AB87</f>
        <v>34.475181620000001</v>
      </c>
      <c r="J85" s="11">
        <f>[1]Dados!AP87</f>
        <v>0</v>
      </c>
      <c r="K85" s="11">
        <f>[1]Dados!BD87</f>
        <v>226.58109846600001</v>
      </c>
      <c r="L85" s="24">
        <f t="shared" si="10"/>
        <v>419.622030043</v>
      </c>
    </row>
    <row r="86" spans="8:12" x14ac:dyDescent="0.25">
      <c r="H86" s="11">
        <f>[1]Dados!M88</f>
        <v>238.63708121299999</v>
      </c>
      <c r="I86" s="11">
        <f>[1]Dados!AB88</f>
        <v>41.633857198000001</v>
      </c>
      <c r="J86" s="11">
        <f>[1]Dados!AP88</f>
        <v>0</v>
      </c>
      <c r="K86" s="11">
        <f>[1]Dados!BD88</f>
        <v>249.468655619</v>
      </c>
      <c r="L86" s="24">
        <f t="shared" si="10"/>
        <v>529.73959403000003</v>
      </c>
    </row>
    <row r="87" spans="8:12" x14ac:dyDescent="0.25">
      <c r="H87" s="11">
        <f>[1]Dados!M89</f>
        <v>301.855434618</v>
      </c>
      <c r="I87" s="11">
        <f>[1]Dados!AB89</f>
        <v>41.451507495999998</v>
      </c>
      <c r="J87" s="11">
        <f>[1]Dados!AP89</f>
        <v>0</v>
      </c>
      <c r="K87" s="11">
        <f>[1]Dados!BD89</f>
        <v>283.542138368</v>
      </c>
      <c r="L87" s="24">
        <f t="shared" si="10"/>
        <v>626.84908048199998</v>
      </c>
    </row>
    <row r="88" spans="8:12" x14ac:dyDescent="0.25">
      <c r="H88" s="11">
        <f>[1]Dados!M90</f>
        <v>382.21873348399998</v>
      </c>
      <c r="I88" s="11">
        <f>[1]Dados!AB90</f>
        <v>40.268053328000001</v>
      </c>
      <c r="J88" s="11">
        <f>[1]Dados!AP90</f>
        <v>0</v>
      </c>
      <c r="K88" s="11">
        <f>[1]Dados!BD90</f>
        <v>303.51999300499995</v>
      </c>
      <c r="L88" s="24">
        <f t="shared" si="10"/>
        <v>726.00677981699994</v>
      </c>
    </row>
    <row r="89" spans="8:12" x14ac:dyDescent="0.25">
      <c r="H89" s="11">
        <f>[1]Dados!M91</f>
        <v>484.80100813600001</v>
      </c>
      <c r="I89" s="11">
        <f>[1]Dados!AB91</f>
        <v>52.208347625000002</v>
      </c>
      <c r="J89" s="11">
        <f>[1]Dados!AP91</f>
        <v>0</v>
      </c>
      <c r="K89" s="11">
        <f>[1]Dados!BD91</f>
        <v>344.63128408099999</v>
      </c>
      <c r="L89" s="24">
        <f t="shared" si="10"/>
        <v>881.64063984200004</v>
      </c>
    </row>
    <row r="90" spans="8:12" x14ac:dyDescent="0.25">
      <c r="H90" s="11">
        <f>[1]Dados!M92</f>
        <v>543.18951594999999</v>
      </c>
      <c r="I90" s="11">
        <f>[1]Dados!AB92</f>
        <v>56.944222428000003</v>
      </c>
      <c r="J90" s="11">
        <f>[1]Dados!AP92</f>
        <v>0</v>
      </c>
      <c r="K90" s="11">
        <f>[1]Dados!BD92</f>
        <v>362.87741482299998</v>
      </c>
      <c r="L90" s="24">
        <f t="shared" si="10"/>
        <v>963.01115320099996</v>
      </c>
    </row>
    <row r="91" spans="8:12" x14ac:dyDescent="0.25">
      <c r="H91" s="11">
        <f>[1]Dados!M93</f>
        <v>650.16558284100006</v>
      </c>
      <c r="I91" s="11">
        <f>[1]Dados!AB93</f>
        <v>55.188643574000004</v>
      </c>
      <c r="J91" s="11">
        <f>[1]Dados!AP93</f>
        <v>0</v>
      </c>
      <c r="K91" s="11">
        <f>[1]Dados!BD93</f>
        <v>424.92656492399993</v>
      </c>
      <c r="L91" s="24">
        <f t="shared" si="10"/>
        <v>1130.280791339</v>
      </c>
    </row>
    <row r="92" spans="8:12" x14ac:dyDescent="0.25">
      <c r="H92" s="11">
        <f>[1]Dados!M94</f>
        <v>674.52688159800005</v>
      </c>
      <c r="I92" s="11">
        <f>[1]Dados!AB94</f>
        <v>83.159952387000004</v>
      </c>
      <c r="J92" s="11">
        <f>[1]Dados!AP94</f>
        <v>0</v>
      </c>
      <c r="K92" s="11">
        <f>[1]Dados!BD94</f>
        <v>386.09201557799997</v>
      </c>
      <c r="L92" s="24">
        <f t="shared" si="10"/>
        <v>1143.778849563</v>
      </c>
    </row>
    <row r="93" spans="8:12" x14ac:dyDescent="0.25">
      <c r="H93" s="11">
        <f>[1]Dados!M95</f>
        <v>490.96435969400005</v>
      </c>
      <c r="I93" s="11">
        <f>[1]Dados!AB95</f>
        <v>51.327341009000008</v>
      </c>
      <c r="J93" s="11">
        <f>[1]Dados!AP95</f>
        <v>0</v>
      </c>
      <c r="K93" s="11">
        <f>[1]Dados!BD95</f>
        <v>379.25002814300001</v>
      </c>
      <c r="L93" s="24">
        <f t="shared" si="10"/>
        <v>921.54172884600007</v>
      </c>
    </row>
    <row r="94" spans="8:12" x14ac:dyDescent="0.25">
      <c r="H94" s="11">
        <f>[1]Dados!M96</f>
        <v>397.13046476299996</v>
      </c>
      <c r="I94" s="11">
        <f>[1]Dados!AB96</f>
        <v>50.585632832999998</v>
      </c>
      <c r="J94" s="11">
        <f>[1]Dados!AP96</f>
        <v>0</v>
      </c>
      <c r="K94" s="11">
        <f>[1]Dados!BD96</f>
        <v>473.353722683</v>
      </c>
      <c r="L94" s="24">
        <f t="shared" si="10"/>
        <v>921.06982027899994</v>
      </c>
    </row>
    <row r="95" spans="8:12" x14ac:dyDescent="0.25">
      <c r="H95" s="11">
        <f>[1]Dados!M97</f>
        <v>327.40542133300005</v>
      </c>
      <c r="I95" s="11">
        <f>[1]Dados!AB97</f>
        <v>52.107429588999992</v>
      </c>
      <c r="J95" s="11">
        <f>[1]Dados!AP97</f>
        <v>0</v>
      </c>
      <c r="K95" s="11">
        <f>[1]Dados!BD97</f>
        <v>453.05191392799998</v>
      </c>
      <c r="L95" s="24">
        <f t="shared" si="10"/>
        <v>832.56476485000007</v>
      </c>
    </row>
    <row r="96" spans="8:12" x14ac:dyDescent="0.25">
      <c r="H96" s="11">
        <f>[1]Dados!M98</f>
        <v>428.68181292899999</v>
      </c>
      <c r="I96" s="11">
        <f>[1]Dados!AB98</f>
        <v>77.988576299000002</v>
      </c>
      <c r="J96" s="11">
        <f>[1]Dados!AP98</f>
        <v>0</v>
      </c>
      <c r="K96" s="11">
        <f>[1]Dados!BD98</f>
        <v>504.99868476499995</v>
      </c>
      <c r="L96" s="24">
        <f t="shared" si="10"/>
        <v>1011.669073993</v>
      </c>
    </row>
    <row r="97" spans="8:12" x14ac:dyDescent="0.25">
      <c r="H97" s="11">
        <f>[1]Dados!M99</f>
        <v>499.85970458499997</v>
      </c>
      <c r="I97" s="11">
        <f>[1]Dados!AB99</f>
        <v>79.990535100000017</v>
      </c>
      <c r="J97" s="11">
        <f>[1]Dados!AP99</f>
        <v>0</v>
      </c>
      <c r="K97" s="11">
        <f>[1]Dados!BD99</f>
        <v>480.88739451399999</v>
      </c>
      <c r="L97" s="24">
        <f t="shared" si="10"/>
        <v>1060.737634199</v>
      </c>
    </row>
    <row r="98" spans="8:12" x14ac:dyDescent="0.25">
      <c r="H98" s="11">
        <f>[1]Dados!M100</f>
        <v>657.84227316600004</v>
      </c>
      <c r="I98" s="11">
        <f>[1]Dados!AB100</f>
        <v>84.077147069999995</v>
      </c>
      <c r="J98" s="11">
        <f>[1]Dados!AP100</f>
        <v>0</v>
      </c>
      <c r="K98" s="11">
        <f>[1]Dados!BD100</f>
        <v>508.07860968</v>
      </c>
      <c r="L98" s="24">
        <f t="shared" si="10"/>
        <v>1249.9980299160002</v>
      </c>
    </row>
    <row r="99" spans="8:12" x14ac:dyDescent="0.25">
      <c r="H99" s="11">
        <f>[1]Dados!M101</f>
        <v>615.05821041900003</v>
      </c>
      <c r="I99" s="11">
        <f>[1]Dados!AB101</f>
        <v>68.215968392000008</v>
      </c>
      <c r="J99" s="11">
        <f>[1]Dados!AP101</f>
        <v>0</v>
      </c>
      <c r="K99" s="11">
        <f>[1]Dados!BD101</f>
        <v>502.28147444199993</v>
      </c>
      <c r="L99" s="24">
        <f t="shared" si="10"/>
        <v>1185.5556532529999</v>
      </c>
    </row>
    <row r="100" spans="8:12" ht="15.75" thickBot="1" x14ac:dyDescent="0.3">
      <c r="H100" s="12">
        <f>[1]Dados!M102</f>
        <v>652.07034347199988</v>
      </c>
      <c r="I100" s="12">
        <f>[1]Dados!AB102</f>
        <v>81.206173007999993</v>
      </c>
      <c r="J100" s="12"/>
      <c r="K100" s="12">
        <f>[1]Dados!BD102</f>
        <v>493.15344243999994</v>
      </c>
      <c r="L100" s="24">
        <f t="shared" si="10"/>
        <v>1226.4299589199998</v>
      </c>
    </row>
  </sheetData>
  <mergeCells count="21">
    <mergeCell ref="F48:I48"/>
    <mergeCell ref="K48:K49"/>
    <mergeCell ref="J42:J44"/>
    <mergeCell ref="K42:K44"/>
    <mergeCell ref="A40:A44"/>
    <mergeCell ref="B40:B44"/>
    <mergeCell ref="C41:C44"/>
    <mergeCell ref="D43:D44"/>
    <mergeCell ref="E41:E44"/>
    <mergeCell ref="F42:F44"/>
    <mergeCell ref="H42:H44"/>
    <mergeCell ref="I41:I44"/>
    <mergeCell ref="A1:P1"/>
    <mergeCell ref="G2:H2"/>
    <mergeCell ref="K2:L2"/>
    <mergeCell ref="L42:L44"/>
    <mergeCell ref="M42:M44"/>
    <mergeCell ref="O41:O42"/>
    <mergeCell ref="A2:A3"/>
    <mergeCell ref="C2:D2"/>
    <mergeCell ref="E2:F2"/>
  </mergeCells>
  <hyperlinks>
    <hyperlink ref="O41" r:id="rId1" xr:uid="{CD19BBFA-9BA2-42B4-9F3C-EEA68D43F664}"/>
    <hyperlink ref="B40" r:id="rId2" display="https://plataforma.seeg.eco.br/?_gl=1*1c7j466*_ga*MTk0NzI2MDYwMS4xNzMyNzM0Mzg0*_ga_XZWSWEJDWQ*MTczMjczNDM4NC4xLjAuMTczMjczNDM4NC4wLjAuMA.." xr:uid="{C376C470-4A4D-4CAC-93C5-E254ABC702B3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01A5E-AA0A-4DE8-8C29-9BBD12BC3B9C}">
  <dimension ref="A1:AK121"/>
  <sheetViews>
    <sheetView topLeftCell="A20" zoomScaleNormal="100" workbookViewId="0">
      <pane xSplit="1" topLeftCell="B1" activePane="topRight" state="frozen"/>
      <selection pane="topRight" activeCell="D31" sqref="D31"/>
    </sheetView>
  </sheetViews>
  <sheetFormatPr defaultRowHeight="15" x14ac:dyDescent="0.25"/>
  <cols>
    <col min="1" max="1" width="12" customWidth="1"/>
    <col min="2" max="2" width="19.7109375" customWidth="1"/>
    <col min="3" max="3" width="20.140625" customWidth="1"/>
    <col min="4" max="4" width="19.42578125" customWidth="1"/>
    <col min="6" max="6" width="10.7109375" customWidth="1"/>
    <col min="7" max="7" width="23.7109375" customWidth="1"/>
    <col min="8" max="8" width="19.5703125" customWidth="1"/>
    <col min="9" max="9" width="10.42578125" customWidth="1"/>
    <col min="10" max="10" width="13.7109375" customWidth="1"/>
    <col min="11" max="11" width="20.5703125" customWidth="1"/>
    <col min="12" max="12" width="21" customWidth="1"/>
    <col min="13" max="13" width="13.140625" customWidth="1"/>
    <col min="14" max="14" width="21.140625" customWidth="1"/>
    <col min="15" max="15" width="19.28515625" customWidth="1"/>
    <col min="17" max="17" width="14.85546875" customWidth="1"/>
    <col min="18" max="18" width="22.42578125" customWidth="1"/>
    <col min="19" max="19" width="22.7109375" customWidth="1"/>
    <col min="21" max="21" width="12.7109375" customWidth="1"/>
    <col min="22" max="22" width="18.5703125" customWidth="1"/>
    <col min="23" max="23" width="19.7109375" style="47" customWidth="1"/>
  </cols>
  <sheetData>
    <row r="1" spans="1:25" ht="18.75" customHeight="1" x14ac:dyDescent="0.25">
      <c r="A1" s="112" t="s">
        <v>28</v>
      </c>
      <c r="B1" s="115" t="s">
        <v>34</v>
      </c>
      <c r="C1" s="115"/>
      <c r="D1" s="115"/>
      <c r="E1" s="42"/>
      <c r="F1" s="115" t="s">
        <v>35</v>
      </c>
      <c r="G1" s="115"/>
      <c r="H1" s="115"/>
      <c r="I1" s="43"/>
      <c r="J1" s="115" t="s">
        <v>73</v>
      </c>
      <c r="K1" s="115"/>
      <c r="L1" s="115"/>
      <c r="M1" s="115"/>
      <c r="N1" s="115"/>
      <c r="O1" s="115"/>
      <c r="P1" s="42"/>
      <c r="Q1" s="114" t="s">
        <v>74</v>
      </c>
      <c r="R1" s="114"/>
      <c r="S1" s="114"/>
      <c r="T1" s="114"/>
      <c r="U1" s="114"/>
      <c r="V1" s="114"/>
      <c r="W1" s="114"/>
      <c r="X1" s="37"/>
      <c r="Y1" s="37"/>
    </row>
    <row r="2" spans="1:25" ht="15" customHeight="1" x14ac:dyDescent="0.25">
      <c r="A2" s="112"/>
      <c r="B2" s="113" t="s">
        <v>33</v>
      </c>
      <c r="C2" s="113"/>
      <c r="D2" s="113"/>
      <c r="E2" s="42"/>
      <c r="F2" s="113" t="s">
        <v>37</v>
      </c>
      <c r="G2" s="113"/>
      <c r="H2" s="113"/>
      <c r="I2" s="36"/>
      <c r="J2" s="113" t="s">
        <v>38</v>
      </c>
      <c r="K2" s="113"/>
      <c r="L2" s="113"/>
      <c r="M2" s="113" t="s">
        <v>68</v>
      </c>
      <c r="N2" s="113"/>
      <c r="O2" s="113"/>
      <c r="P2" s="42"/>
      <c r="Q2" s="113" t="s">
        <v>70</v>
      </c>
      <c r="R2" s="113"/>
      <c r="S2" s="113"/>
      <c r="T2" s="16"/>
      <c r="U2" s="113" t="s">
        <v>4</v>
      </c>
      <c r="V2" s="113"/>
      <c r="W2" s="113"/>
      <c r="X2" s="14"/>
      <c r="Y2" s="14"/>
    </row>
    <row r="3" spans="1:25" ht="15.75" x14ac:dyDescent="0.25">
      <c r="A3" s="112"/>
      <c r="B3" s="38" t="s">
        <v>36</v>
      </c>
      <c r="C3" s="39" t="s">
        <v>81</v>
      </c>
      <c r="D3" s="40" t="s">
        <v>78</v>
      </c>
      <c r="E3" s="34"/>
      <c r="F3" s="38" t="s">
        <v>36</v>
      </c>
      <c r="G3" s="39" t="s">
        <v>81</v>
      </c>
      <c r="H3" s="40" t="s">
        <v>78</v>
      </c>
      <c r="I3" s="44"/>
      <c r="J3" s="38" t="s">
        <v>36</v>
      </c>
      <c r="K3" s="39" t="s">
        <v>81</v>
      </c>
      <c r="L3" s="40" t="s">
        <v>78</v>
      </c>
      <c r="M3" s="38" t="s">
        <v>36</v>
      </c>
      <c r="N3" s="39" t="s">
        <v>81</v>
      </c>
      <c r="O3" s="40" t="s">
        <v>78</v>
      </c>
      <c r="P3" s="42"/>
      <c r="Q3" s="38" t="s">
        <v>36</v>
      </c>
      <c r="R3" s="39" t="s">
        <v>81</v>
      </c>
      <c r="S3" s="40" t="s">
        <v>78</v>
      </c>
      <c r="T3" s="23" t="s">
        <v>6</v>
      </c>
      <c r="U3" s="38" t="s">
        <v>69</v>
      </c>
      <c r="V3" s="39" t="s">
        <v>81</v>
      </c>
      <c r="W3" s="40" t="s">
        <v>78</v>
      </c>
      <c r="X3" s="41"/>
      <c r="Y3" s="45"/>
    </row>
    <row r="4" spans="1:25" ht="15.75" x14ac:dyDescent="0.25">
      <c r="A4" s="75">
        <v>2000</v>
      </c>
      <c r="B4" s="5">
        <v>53.376022031000005</v>
      </c>
      <c r="C4" s="5">
        <v>53.376022031000005</v>
      </c>
      <c r="D4" s="5">
        <v>53.376022031000005</v>
      </c>
      <c r="E4" s="34"/>
      <c r="F4" s="48">
        <v>1954.6397572020001</v>
      </c>
      <c r="G4" s="48">
        <v>1954.6397572020001</v>
      </c>
      <c r="H4" s="48">
        <v>1954.6397572020001</v>
      </c>
      <c r="I4" s="49"/>
      <c r="J4" s="50">
        <f t="shared" ref="J4:J27" si="0">(((B4*10^3)*90)/10^3)+F4</f>
        <v>6758.4817399920012</v>
      </c>
      <c r="K4" s="50">
        <f t="shared" ref="K4:K27" si="1">(((C4*10^3)*90)/10^3)+G4</f>
        <v>6758.4817399920012</v>
      </c>
      <c r="L4" s="51">
        <f t="shared" ref="L4:L27" si="2">(((D4*10^3)*90)/10^3)+H4</f>
        <v>6758.4817399920012</v>
      </c>
      <c r="M4" s="52">
        <f>(($F4*10^3)/90)+($B4*10^3)</f>
        <v>75094.24155546668</v>
      </c>
      <c r="N4" s="52">
        <f>(($F4*10^3)/90)+($B4*10^3)</f>
        <v>75094.24155546668</v>
      </c>
      <c r="O4" s="52">
        <f>(($F4*10^3)/90)+($B4*10^3)</f>
        <v>75094.24155546668</v>
      </c>
      <c r="P4" s="34"/>
      <c r="Q4" s="52">
        <f xml:space="preserve"> Fig_historico_Kaya!K14</f>
        <v>26.646484732562602</v>
      </c>
      <c r="R4" s="52">
        <f>Fig_historico_Kaya!K14</f>
        <v>26.646484732562602</v>
      </c>
      <c r="S4" s="52">
        <f>Fig_historico_Kaya!K14</f>
        <v>26.646484732562602</v>
      </c>
      <c r="T4" s="52"/>
      <c r="U4" s="52">
        <f>Fig_historico_Kaya!L14</f>
        <v>2.3981836259306344</v>
      </c>
      <c r="V4" s="52">
        <f>Fig_historico_Kaya!L14</f>
        <v>2.3981836259306344</v>
      </c>
      <c r="W4" s="78">
        <f>Fig_historico_Kaya!L14</f>
        <v>2.3981836259306344</v>
      </c>
      <c r="X4" s="7"/>
      <c r="Y4" s="5"/>
    </row>
    <row r="5" spans="1:25" ht="15.75" x14ac:dyDescent="0.25">
      <c r="A5" s="75">
        <v>2001</v>
      </c>
      <c r="B5" s="5">
        <v>51.345035597000006</v>
      </c>
      <c r="C5" s="5">
        <v>51.345035597000006</v>
      </c>
      <c r="D5" s="5">
        <v>51.345035597000006</v>
      </c>
      <c r="E5" s="34"/>
      <c r="F5" s="48">
        <v>1909.8107487010002</v>
      </c>
      <c r="G5" s="48">
        <v>1909.8107487010002</v>
      </c>
      <c r="H5" s="48">
        <v>1909.8107487010002</v>
      </c>
      <c r="I5" s="49"/>
      <c r="J5" s="50">
        <f t="shared" si="0"/>
        <v>6530.8639524310011</v>
      </c>
      <c r="K5" s="50">
        <f t="shared" si="1"/>
        <v>6530.8639524310011</v>
      </c>
      <c r="L5" s="53">
        <f t="shared" si="2"/>
        <v>6530.8639524310011</v>
      </c>
      <c r="M5" s="52">
        <f t="shared" ref="M5:O54" si="3">(($F5*10^3)/90)+($B5*10^3)</f>
        <v>72565.155027011118</v>
      </c>
      <c r="N5" s="52">
        <f t="shared" si="3"/>
        <v>72565.155027011118</v>
      </c>
      <c r="O5" s="52">
        <f t="shared" si="3"/>
        <v>72565.155027011118</v>
      </c>
      <c r="P5" s="34"/>
      <c r="Q5" s="52">
        <f xml:space="preserve"> Fig_historico_Kaya!K15</f>
        <v>27.765892816141285</v>
      </c>
      <c r="R5" s="52">
        <f>Fig_historico_Kaya!K15</f>
        <v>27.765892816141285</v>
      </c>
      <c r="S5" s="52">
        <f>Fig_historico_Kaya!K15</f>
        <v>27.765892816141285</v>
      </c>
      <c r="T5" s="52"/>
      <c r="U5" s="52">
        <f>Fig_historico_Kaya!L15</f>
        <v>2.4989303534527156</v>
      </c>
      <c r="V5" s="52">
        <f>Fig_historico_Kaya!L15</f>
        <v>2.4989303534527156</v>
      </c>
      <c r="W5" s="78">
        <f>Fig_historico_Kaya!L15</f>
        <v>2.4989303534527156</v>
      </c>
      <c r="X5" s="7"/>
      <c r="Y5" s="5"/>
    </row>
    <row r="6" spans="1:25" ht="15.75" x14ac:dyDescent="0.25">
      <c r="A6" s="75">
        <v>2002</v>
      </c>
      <c r="B6" s="5">
        <v>50.254793960999997</v>
      </c>
      <c r="C6" s="5">
        <v>50.254793960999997</v>
      </c>
      <c r="D6" s="5">
        <v>50.254793960999997</v>
      </c>
      <c r="E6" s="34"/>
      <c r="F6" s="48">
        <v>2089.6552224759998</v>
      </c>
      <c r="G6" s="48">
        <v>2089.6552224759998</v>
      </c>
      <c r="H6" s="48">
        <v>2089.6552224759998</v>
      </c>
      <c r="I6" s="49"/>
      <c r="J6" s="50">
        <f t="shared" si="0"/>
        <v>6612.5866789659995</v>
      </c>
      <c r="K6" s="50">
        <f t="shared" si="1"/>
        <v>6612.5866789659995</v>
      </c>
      <c r="L6" s="53">
        <f t="shared" si="2"/>
        <v>6612.5866789659995</v>
      </c>
      <c r="M6" s="52">
        <f t="shared" si="3"/>
        <v>73473.185321844445</v>
      </c>
      <c r="N6" s="52">
        <f t="shared" si="3"/>
        <v>73473.185321844445</v>
      </c>
      <c r="O6" s="52">
        <f t="shared" si="3"/>
        <v>73473.185321844445</v>
      </c>
      <c r="P6" s="34"/>
      <c r="Q6" s="52">
        <f xml:space="preserve"> Fig_historico_Kaya!K16</f>
        <v>27.45217337981051</v>
      </c>
      <c r="R6" s="52">
        <f>Fig_historico_Kaya!K16</f>
        <v>27.45217337981051</v>
      </c>
      <c r="S6" s="52">
        <f>Fig_historico_Kaya!K16</f>
        <v>27.45217337981051</v>
      </c>
      <c r="T6" s="52"/>
      <c r="U6" s="52">
        <f>Fig_historico_Kaya!L16</f>
        <v>2.4706956041829455</v>
      </c>
      <c r="V6" s="52">
        <f>Fig_historico_Kaya!L16</f>
        <v>2.4706956041829455</v>
      </c>
      <c r="W6" s="78">
        <f>Fig_historico_Kaya!L16</f>
        <v>2.4706956041829455</v>
      </c>
      <c r="X6" s="7"/>
      <c r="Y6" s="5"/>
    </row>
    <row r="7" spans="1:25" ht="15.75" x14ac:dyDescent="0.25">
      <c r="A7" s="75">
        <v>2003</v>
      </c>
      <c r="B7" s="5">
        <v>50.301464779999996</v>
      </c>
      <c r="C7" s="5">
        <v>50.301464779999996</v>
      </c>
      <c r="D7" s="5">
        <v>50.301464779999996</v>
      </c>
      <c r="E7" s="34"/>
      <c r="F7" s="48">
        <v>1995.6600105060002</v>
      </c>
      <c r="G7" s="48">
        <v>1995.6600105060002</v>
      </c>
      <c r="H7" s="48">
        <v>1995.6600105060002</v>
      </c>
      <c r="I7" s="49"/>
      <c r="J7" s="50">
        <f t="shared" si="0"/>
        <v>6522.7918407060006</v>
      </c>
      <c r="K7" s="50">
        <f t="shared" si="1"/>
        <v>6522.7918407060006</v>
      </c>
      <c r="L7" s="53">
        <f t="shared" si="2"/>
        <v>6522.7918407060006</v>
      </c>
      <c r="M7" s="52">
        <f t="shared" si="3"/>
        <v>72475.464896733334</v>
      </c>
      <c r="N7" s="52">
        <f t="shared" si="3"/>
        <v>72475.464896733334</v>
      </c>
      <c r="O7" s="52">
        <f t="shared" si="3"/>
        <v>72475.464896733334</v>
      </c>
      <c r="P7" s="34"/>
      <c r="Q7" s="52">
        <f xml:space="preserve"> Fig_historico_Kaya!K17</f>
        <v>24.058944671613862</v>
      </c>
      <c r="R7" s="52">
        <f>Fig_historico_Kaya!K17</f>
        <v>24.058944671613862</v>
      </c>
      <c r="S7" s="52">
        <f>Fig_historico_Kaya!K17</f>
        <v>24.058944671613862</v>
      </c>
      <c r="T7" s="52"/>
      <c r="U7" s="52">
        <f>Fig_historico_Kaya!L17</f>
        <v>2.1653050204452478</v>
      </c>
      <c r="V7" s="52">
        <f>Fig_historico_Kaya!L17</f>
        <v>2.1653050204452478</v>
      </c>
      <c r="W7" s="78">
        <f>Fig_historico_Kaya!L17</f>
        <v>2.1653050204452478</v>
      </c>
      <c r="X7" s="7"/>
      <c r="Y7" s="5"/>
    </row>
    <row r="8" spans="1:25" ht="15.75" x14ac:dyDescent="0.25">
      <c r="A8" s="75">
        <v>2004</v>
      </c>
      <c r="B8" s="5">
        <v>55.928460839000003</v>
      </c>
      <c r="C8" s="5">
        <v>55.928460839000003</v>
      </c>
      <c r="D8" s="5">
        <v>55.928460839000003</v>
      </c>
      <c r="E8" s="34"/>
      <c r="F8" s="48">
        <v>2332.9972381140001</v>
      </c>
      <c r="G8" s="48">
        <v>2332.9972381140001</v>
      </c>
      <c r="H8" s="48">
        <v>2332.9972381140001</v>
      </c>
      <c r="I8" s="49"/>
      <c r="J8" s="50">
        <f t="shared" si="0"/>
        <v>7366.558713624001</v>
      </c>
      <c r="K8" s="50">
        <f t="shared" si="1"/>
        <v>7366.558713624001</v>
      </c>
      <c r="L8" s="53">
        <f t="shared" si="2"/>
        <v>7366.558713624001</v>
      </c>
      <c r="M8" s="52">
        <f t="shared" si="3"/>
        <v>81850.652373600009</v>
      </c>
      <c r="N8" s="52">
        <f t="shared" si="3"/>
        <v>81850.652373600009</v>
      </c>
      <c r="O8" s="52">
        <f t="shared" si="3"/>
        <v>81850.652373600009</v>
      </c>
      <c r="P8" s="34"/>
      <c r="Q8" s="52">
        <f xml:space="preserve"> Fig_historico_Kaya!K18</f>
        <v>22.322952126326239</v>
      </c>
      <c r="R8" s="52">
        <f>Fig_historico_Kaya!K18</f>
        <v>22.322952126326239</v>
      </c>
      <c r="S8" s="52">
        <f>Fig_historico_Kaya!K18</f>
        <v>22.322952126326239</v>
      </c>
      <c r="T8" s="52"/>
      <c r="U8" s="52">
        <f>Fig_historico_Kaya!L18</f>
        <v>2.0090656913693619</v>
      </c>
      <c r="V8" s="52">
        <f>Fig_historico_Kaya!L18</f>
        <v>2.0090656913693619</v>
      </c>
      <c r="W8" s="78">
        <f>Fig_historico_Kaya!L18</f>
        <v>2.0090656913693619</v>
      </c>
      <c r="X8" s="7"/>
      <c r="Y8" s="5"/>
    </row>
    <row r="9" spans="1:25" ht="15.75" x14ac:dyDescent="0.25">
      <c r="A9" s="75">
        <v>2005</v>
      </c>
      <c r="B9" s="5">
        <v>66.813820539999995</v>
      </c>
      <c r="C9" s="5">
        <v>66.813820539999995</v>
      </c>
      <c r="D9" s="5">
        <v>66.813820539999995</v>
      </c>
      <c r="E9" s="34"/>
      <c r="F9" s="48">
        <v>2248.3734151509998</v>
      </c>
      <c r="G9" s="48">
        <v>2248.3734151509998</v>
      </c>
      <c r="H9" s="48">
        <v>2248.3734151509998</v>
      </c>
      <c r="I9" s="49"/>
      <c r="J9" s="50">
        <f t="shared" si="0"/>
        <v>8261.617263750999</v>
      </c>
      <c r="K9" s="50">
        <f t="shared" si="1"/>
        <v>8261.617263750999</v>
      </c>
      <c r="L9" s="53">
        <f t="shared" si="2"/>
        <v>8261.617263750999</v>
      </c>
      <c r="M9" s="52">
        <f t="shared" si="3"/>
        <v>91795.747375011109</v>
      </c>
      <c r="N9" s="52">
        <f t="shared" si="3"/>
        <v>91795.747375011109</v>
      </c>
      <c r="O9" s="52">
        <f t="shared" si="3"/>
        <v>91795.747375011109</v>
      </c>
      <c r="P9" s="34"/>
      <c r="Q9" s="52">
        <f xml:space="preserve"> Fig_historico_Kaya!K19</f>
        <v>21.035950016599482</v>
      </c>
      <c r="R9" s="52">
        <f>Fig_historico_Kaya!K19</f>
        <v>21.035950016599482</v>
      </c>
      <c r="S9" s="52">
        <f>Fig_historico_Kaya!K19</f>
        <v>21.035950016599482</v>
      </c>
      <c r="T9" s="52"/>
      <c r="U9" s="52">
        <f>Fig_historico_Kaya!L19</f>
        <v>1.893235501493953</v>
      </c>
      <c r="V9" s="52">
        <f>Fig_historico_Kaya!L19</f>
        <v>1.893235501493953</v>
      </c>
      <c r="W9" s="78">
        <f>Fig_historico_Kaya!L19</f>
        <v>1.893235501493953</v>
      </c>
      <c r="X9" s="7"/>
      <c r="Y9" s="5"/>
    </row>
    <row r="10" spans="1:25" ht="15.75" x14ac:dyDescent="0.25">
      <c r="A10" s="75">
        <v>2006</v>
      </c>
      <c r="B10" s="5">
        <v>72.203881308000007</v>
      </c>
      <c r="C10" s="5">
        <v>72.203881308000007</v>
      </c>
      <c r="D10" s="5">
        <v>72.203881308000007</v>
      </c>
      <c r="E10" s="34"/>
      <c r="F10" s="48">
        <v>2006.9671482210001</v>
      </c>
      <c r="G10" s="48">
        <v>2006.9671482210001</v>
      </c>
      <c r="H10" s="48">
        <v>2006.9671482210001</v>
      </c>
      <c r="I10" s="49"/>
      <c r="J10" s="50">
        <f t="shared" si="0"/>
        <v>8505.3164659410013</v>
      </c>
      <c r="K10" s="50">
        <f t="shared" si="1"/>
        <v>8505.3164659410013</v>
      </c>
      <c r="L10" s="53">
        <f t="shared" si="2"/>
        <v>8505.3164659410013</v>
      </c>
      <c r="M10" s="52">
        <f t="shared" si="3"/>
        <v>94503.516288233339</v>
      </c>
      <c r="N10" s="52">
        <f t="shared" si="3"/>
        <v>94503.516288233339</v>
      </c>
      <c r="O10" s="52">
        <f t="shared" si="3"/>
        <v>94503.516288233339</v>
      </c>
      <c r="P10" s="34"/>
      <c r="Q10" s="52">
        <f xml:space="preserve"> Fig_historico_Kaya!K20</f>
        <v>20.432455182109798</v>
      </c>
      <c r="R10" s="52">
        <f>Fig_historico_Kaya!K20</f>
        <v>20.432455182109798</v>
      </c>
      <c r="S10" s="52">
        <f>Fig_historico_Kaya!K20</f>
        <v>20.432455182109798</v>
      </c>
      <c r="T10" s="52"/>
      <c r="U10" s="52">
        <f>Fig_historico_Kaya!L20</f>
        <v>1.838920966389882</v>
      </c>
      <c r="V10" s="52">
        <f>Fig_historico_Kaya!L20</f>
        <v>1.838920966389882</v>
      </c>
      <c r="W10" s="78">
        <f>Fig_historico_Kaya!L20</f>
        <v>1.838920966389882</v>
      </c>
      <c r="X10" s="7"/>
      <c r="Y10" s="5"/>
    </row>
    <row r="11" spans="1:25" ht="15.75" x14ac:dyDescent="0.25">
      <c r="A11" s="75">
        <v>2007</v>
      </c>
      <c r="B11" s="5">
        <v>79.406448315000006</v>
      </c>
      <c r="C11" s="5">
        <v>79.406448315000006</v>
      </c>
      <c r="D11" s="5">
        <v>79.406448315000006</v>
      </c>
      <c r="E11" s="34"/>
      <c r="F11" s="48">
        <v>1995.1700248130001</v>
      </c>
      <c r="G11" s="48">
        <v>1995.1700248130001</v>
      </c>
      <c r="H11" s="48">
        <v>1995.1700248130001</v>
      </c>
      <c r="I11" s="49"/>
      <c r="J11" s="50">
        <f t="shared" si="0"/>
        <v>9141.7503731630004</v>
      </c>
      <c r="K11" s="50">
        <f t="shared" si="1"/>
        <v>9141.7503731630004</v>
      </c>
      <c r="L11" s="53">
        <f t="shared" si="2"/>
        <v>9141.7503731630004</v>
      </c>
      <c r="M11" s="52">
        <f t="shared" si="3"/>
        <v>101575.00414625555</v>
      </c>
      <c r="N11" s="52">
        <f t="shared" si="3"/>
        <v>101575.00414625555</v>
      </c>
      <c r="O11" s="52">
        <f t="shared" si="3"/>
        <v>101575.00414625555</v>
      </c>
      <c r="P11" s="34"/>
      <c r="Q11" s="52">
        <f xml:space="preserve"> Fig_historico_Kaya!K21</f>
        <v>20.826422616302363</v>
      </c>
      <c r="R11" s="52">
        <f>Fig_historico_Kaya!K21</f>
        <v>20.826422616302363</v>
      </c>
      <c r="S11" s="52">
        <f>Fig_historico_Kaya!K21</f>
        <v>20.826422616302363</v>
      </c>
      <c r="T11" s="52"/>
      <c r="U11" s="52">
        <f>Fig_historico_Kaya!L21</f>
        <v>1.8743780354672128</v>
      </c>
      <c r="V11" s="52">
        <f>Fig_historico_Kaya!L21</f>
        <v>1.8743780354672128</v>
      </c>
      <c r="W11" s="78">
        <f>Fig_historico_Kaya!L21</f>
        <v>1.8743780354672128</v>
      </c>
      <c r="X11" s="7"/>
      <c r="Y11" s="5"/>
    </row>
    <row r="12" spans="1:25" ht="15.75" x14ac:dyDescent="0.25">
      <c r="A12" s="75">
        <v>2008</v>
      </c>
      <c r="B12" s="5">
        <v>86.714153589999995</v>
      </c>
      <c r="C12" s="5">
        <v>86.714153589999995</v>
      </c>
      <c r="D12" s="5">
        <v>86.714153589999995</v>
      </c>
      <c r="E12" s="34"/>
      <c r="F12" s="48">
        <v>1885.166983998</v>
      </c>
      <c r="G12" s="48">
        <v>1885.166983998</v>
      </c>
      <c r="H12" s="48">
        <v>1885.166983998</v>
      </c>
      <c r="I12" s="49"/>
      <c r="J12" s="50">
        <f t="shared" si="0"/>
        <v>9689.4408070980007</v>
      </c>
      <c r="K12" s="50">
        <f t="shared" si="1"/>
        <v>9689.4408070980007</v>
      </c>
      <c r="L12" s="53">
        <f t="shared" si="2"/>
        <v>9689.4408070980007</v>
      </c>
      <c r="M12" s="52">
        <f t="shared" si="3"/>
        <v>107660.4534122</v>
      </c>
      <c r="N12" s="52">
        <f t="shared" si="3"/>
        <v>107660.4534122</v>
      </c>
      <c r="O12" s="52">
        <f t="shared" si="3"/>
        <v>107660.4534122</v>
      </c>
      <c r="P12" s="34"/>
      <c r="Q12" s="52">
        <f xml:space="preserve"> Fig_historico_Kaya!K22</f>
        <v>21.631106863732253</v>
      </c>
      <c r="R12" s="52">
        <f>Fig_historico_Kaya!K22</f>
        <v>21.631106863732253</v>
      </c>
      <c r="S12" s="52">
        <f>Fig_historico_Kaya!K22</f>
        <v>21.631106863732253</v>
      </c>
      <c r="T12" s="52"/>
      <c r="U12" s="52">
        <f>Fig_historico_Kaya!L22</f>
        <v>1.946799617735903</v>
      </c>
      <c r="V12" s="52">
        <f>Fig_historico_Kaya!L22</f>
        <v>1.946799617735903</v>
      </c>
      <c r="W12" s="78">
        <f>Fig_historico_Kaya!L22</f>
        <v>1.946799617735903</v>
      </c>
      <c r="X12" s="7"/>
      <c r="Y12" s="5"/>
    </row>
    <row r="13" spans="1:25" ht="15.75" x14ac:dyDescent="0.25">
      <c r="A13" s="75">
        <v>2009</v>
      </c>
      <c r="B13" s="5">
        <v>94.356428561000001</v>
      </c>
      <c r="C13" s="5">
        <v>94.356428561000001</v>
      </c>
      <c r="D13" s="5">
        <v>94.356428561000001</v>
      </c>
      <c r="E13" s="34"/>
      <c r="F13" s="48">
        <v>1665.548948659</v>
      </c>
      <c r="G13" s="48">
        <v>1665.548948659</v>
      </c>
      <c r="H13" s="48">
        <v>1665.548948659</v>
      </c>
      <c r="I13" s="49"/>
      <c r="J13" s="50">
        <f t="shared" si="0"/>
        <v>10157.627519149</v>
      </c>
      <c r="K13" s="50">
        <f t="shared" si="1"/>
        <v>10157.627519149</v>
      </c>
      <c r="L13" s="53">
        <f t="shared" si="2"/>
        <v>10157.627519149</v>
      </c>
      <c r="M13" s="52">
        <f t="shared" si="3"/>
        <v>112862.52799054445</v>
      </c>
      <c r="N13" s="52">
        <f t="shared" si="3"/>
        <v>112862.52799054445</v>
      </c>
      <c r="O13" s="52">
        <f t="shared" si="3"/>
        <v>112862.52799054445</v>
      </c>
      <c r="P13" s="34"/>
      <c r="Q13" s="52">
        <f xml:space="preserve"> Fig_historico_Kaya!K23</f>
        <v>20.981136096813181</v>
      </c>
      <c r="R13" s="52">
        <f>Fig_historico_Kaya!K23</f>
        <v>20.981136096813181</v>
      </c>
      <c r="S13" s="52">
        <f>Fig_historico_Kaya!K23</f>
        <v>20.981136096813181</v>
      </c>
      <c r="T13" s="52"/>
      <c r="U13" s="52">
        <f>Fig_historico_Kaya!L23</f>
        <v>1.8883022487131862</v>
      </c>
      <c r="V13" s="52">
        <f>Fig_historico_Kaya!L23</f>
        <v>1.8883022487131862</v>
      </c>
      <c r="W13" s="78">
        <f>Fig_historico_Kaya!L23</f>
        <v>1.8883022487131862</v>
      </c>
      <c r="X13" s="7"/>
      <c r="Y13" s="5"/>
    </row>
    <row r="14" spans="1:25" ht="15.75" x14ac:dyDescent="0.25">
      <c r="A14" s="75">
        <v>2010</v>
      </c>
      <c r="B14" s="5">
        <v>114.38383960199999</v>
      </c>
      <c r="C14" s="5">
        <v>114.38383960199999</v>
      </c>
      <c r="D14" s="5">
        <v>114.38383960199999</v>
      </c>
      <c r="E14" s="34"/>
      <c r="F14" s="48">
        <v>2322.8588367319999</v>
      </c>
      <c r="G14" s="48">
        <v>2322.8588367319999</v>
      </c>
      <c r="H14" s="48">
        <v>2322.8588367319999</v>
      </c>
      <c r="I14" s="49"/>
      <c r="J14" s="50">
        <f t="shared" si="0"/>
        <v>12617.404400912001</v>
      </c>
      <c r="K14" s="50">
        <f t="shared" si="1"/>
        <v>12617.404400912001</v>
      </c>
      <c r="L14" s="53">
        <f t="shared" si="2"/>
        <v>12617.404400912001</v>
      </c>
      <c r="M14" s="52">
        <f t="shared" si="3"/>
        <v>140193.38223235554</v>
      </c>
      <c r="N14" s="52">
        <f t="shared" si="3"/>
        <v>140193.38223235554</v>
      </c>
      <c r="O14" s="52">
        <f t="shared" si="3"/>
        <v>140193.38223235554</v>
      </c>
      <c r="P14" s="34"/>
      <c r="Q14" s="52">
        <f xml:space="preserve"> Fig_historico_Kaya!K24</f>
        <v>19.38212053015193</v>
      </c>
      <c r="R14" s="52">
        <f>Fig_historico_Kaya!K24</f>
        <v>19.38212053015193</v>
      </c>
      <c r="S14" s="52">
        <f>Fig_historico_Kaya!K24</f>
        <v>19.38212053015193</v>
      </c>
      <c r="T14" s="52"/>
      <c r="U14" s="52">
        <f>Fig_historico_Kaya!L24</f>
        <v>1.744390847713674</v>
      </c>
      <c r="V14" s="52">
        <f>Fig_historico_Kaya!L24</f>
        <v>1.744390847713674</v>
      </c>
      <c r="W14" s="78">
        <f>Fig_historico_Kaya!L24</f>
        <v>1.744390847713674</v>
      </c>
      <c r="X14" s="7"/>
      <c r="Y14" s="5"/>
    </row>
    <row r="15" spans="1:25" ht="15.75" x14ac:dyDescent="0.25">
      <c r="A15" s="75">
        <v>2011</v>
      </c>
      <c r="B15" s="5">
        <v>132.39551621300001</v>
      </c>
      <c r="C15" s="5">
        <v>132.39551621300001</v>
      </c>
      <c r="D15" s="5">
        <v>132.39551621300001</v>
      </c>
      <c r="E15" s="34"/>
      <c r="F15" s="48">
        <v>2724.3433670599998</v>
      </c>
      <c r="G15" s="48">
        <v>2724.3433670599998</v>
      </c>
      <c r="H15" s="48">
        <v>2724.3433670599998</v>
      </c>
      <c r="I15" s="49"/>
      <c r="J15" s="50">
        <f t="shared" si="0"/>
        <v>14639.939826229998</v>
      </c>
      <c r="K15" s="50">
        <f t="shared" si="1"/>
        <v>14639.939826229998</v>
      </c>
      <c r="L15" s="53">
        <f t="shared" si="2"/>
        <v>14639.939826229998</v>
      </c>
      <c r="M15" s="52">
        <f t="shared" si="3"/>
        <v>162665.9980692222</v>
      </c>
      <c r="N15" s="52">
        <f t="shared" si="3"/>
        <v>162665.9980692222</v>
      </c>
      <c r="O15" s="52">
        <f t="shared" si="3"/>
        <v>162665.9980692222</v>
      </c>
      <c r="P15" s="34"/>
      <c r="Q15" s="52">
        <f xml:space="preserve"> Fig_historico_Kaya!K25</f>
        <v>18.55519694122497</v>
      </c>
      <c r="R15" s="52">
        <f>Fig_historico_Kaya!K25</f>
        <v>18.55519694122497</v>
      </c>
      <c r="S15" s="52">
        <f>Fig_historico_Kaya!K25</f>
        <v>18.55519694122497</v>
      </c>
      <c r="T15" s="52"/>
      <c r="U15" s="52">
        <f>Fig_historico_Kaya!L25</f>
        <v>1.6699677247102473</v>
      </c>
      <c r="V15" s="52">
        <f>Fig_historico_Kaya!L25</f>
        <v>1.6699677247102473</v>
      </c>
      <c r="W15" s="78">
        <f>Fig_historico_Kaya!L25</f>
        <v>1.6699677247102473</v>
      </c>
      <c r="X15" s="7"/>
      <c r="Y15" s="5"/>
    </row>
    <row r="16" spans="1:25" ht="15.75" x14ac:dyDescent="0.25">
      <c r="A16" s="75">
        <v>2012</v>
      </c>
      <c r="B16" s="5">
        <v>142.116167856</v>
      </c>
      <c r="C16" s="5">
        <v>142.116167856</v>
      </c>
      <c r="D16" s="5">
        <v>142.116167856</v>
      </c>
      <c r="E16" s="34"/>
      <c r="F16" s="48">
        <v>2555.843214343</v>
      </c>
      <c r="G16" s="48">
        <v>2555.843214343</v>
      </c>
      <c r="H16" s="48">
        <v>2555.843214343</v>
      </c>
      <c r="I16" s="49"/>
      <c r="J16" s="50">
        <f t="shared" si="0"/>
        <v>15346.298321383001</v>
      </c>
      <c r="K16" s="50">
        <f t="shared" si="1"/>
        <v>15346.298321383001</v>
      </c>
      <c r="L16" s="53">
        <f t="shared" si="2"/>
        <v>15346.298321383001</v>
      </c>
      <c r="M16" s="52">
        <f t="shared" si="3"/>
        <v>170514.42579314447</v>
      </c>
      <c r="N16" s="52">
        <f t="shared" si="3"/>
        <v>170514.42579314447</v>
      </c>
      <c r="O16" s="52">
        <f t="shared" si="3"/>
        <v>170514.42579314447</v>
      </c>
      <c r="P16" s="34"/>
      <c r="Q16" s="52">
        <f xml:space="preserve"> Fig_historico_Kaya!K26</f>
        <v>18.566769587522401</v>
      </c>
      <c r="R16" s="52">
        <f>Fig_historico_Kaya!K26</f>
        <v>18.566769587522401</v>
      </c>
      <c r="S16" s="52">
        <f>Fig_historico_Kaya!K26</f>
        <v>18.566769587522401</v>
      </c>
      <c r="T16" s="52"/>
      <c r="U16" s="52">
        <f>Fig_historico_Kaya!L26</f>
        <v>1.6710092628770161</v>
      </c>
      <c r="V16" s="52">
        <f>Fig_historico_Kaya!L26</f>
        <v>1.6710092628770161</v>
      </c>
      <c r="W16" s="78">
        <f>Fig_historico_Kaya!L26</f>
        <v>1.6710092628770161</v>
      </c>
      <c r="X16" s="7"/>
      <c r="Y16" s="5"/>
    </row>
    <row r="17" spans="1:25" ht="15.75" x14ac:dyDescent="0.25">
      <c r="A17" s="75">
        <v>2013</v>
      </c>
      <c r="B17" s="5">
        <v>146.64017536899999</v>
      </c>
      <c r="C17" s="5">
        <v>146.64017536899999</v>
      </c>
      <c r="D17" s="5">
        <v>146.64017536899999</v>
      </c>
      <c r="E17" s="34"/>
      <c r="F17" s="48">
        <v>2671.876238754</v>
      </c>
      <c r="G17" s="48">
        <v>2671.876238754</v>
      </c>
      <c r="H17" s="48">
        <v>2671.876238754</v>
      </c>
      <c r="I17" s="49"/>
      <c r="J17" s="50">
        <f t="shared" si="0"/>
        <v>15869.492021964001</v>
      </c>
      <c r="K17" s="50">
        <f t="shared" si="1"/>
        <v>15869.492021964001</v>
      </c>
      <c r="L17" s="53">
        <f t="shared" si="2"/>
        <v>15869.492021964001</v>
      </c>
      <c r="M17" s="52">
        <f t="shared" si="3"/>
        <v>176327.68913293333</v>
      </c>
      <c r="N17" s="52">
        <f t="shared" si="3"/>
        <v>176327.68913293333</v>
      </c>
      <c r="O17" s="52">
        <f t="shared" si="3"/>
        <v>176327.68913293333</v>
      </c>
      <c r="P17" s="34"/>
      <c r="Q17" s="52">
        <f xml:space="preserve"> Fig_historico_Kaya!K27</f>
        <v>17.875713733267446</v>
      </c>
      <c r="R17" s="52">
        <f>Fig_historico_Kaya!K27</f>
        <v>17.875713733267446</v>
      </c>
      <c r="S17" s="52">
        <f>Fig_historico_Kaya!K27</f>
        <v>17.875713733267446</v>
      </c>
      <c r="T17" s="52"/>
      <c r="U17" s="52">
        <f>Fig_historico_Kaya!L27</f>
        <v>1.6088142359940705</v>
      </c>
      <c r="V17" s="52">
        <f>Fig_historico_Kaya!L27</f>
        <v>1.6088142359940705</v>
      </c>
      <c r="W17" s="78">
        <f>Fig_historico_Kaya!L27</f>
        <v>1.6088142359940705</v>
      </c>
      <c r="X17" s="7"/>
      <c r="Y17" s="5"/>
    </row>
    <row r="18" spans="1:25" ht="15.75" x14ac:dyDescent="0.25">
      <c r="A18" s="75">
        <v>2014</v>
      </c>
      <c r="B18" s="5">
        <v>157.39270220499998</v>
      </c>
      <c r="C18" s="5">
        <v>157.39270220499998</v>
      </c>
      <c r="D18" s="5">
        <v>157.39270220499998</v>
      </c>
      <c r="E18" s="34"/>
      <c r="F18" s="48">
        <v>2791.9761928520002</v>
      </c>
      <c r="G18" s="48">
        <v>2791.9761928520002</v>
      </c>
      <c r="H18" s="48">
        <v>2791.9761928520002</v>
      </c>
      <c r="I18" s="49"/>
      <c r="J18" s="50">
        <f t="shared" si="0"/>
        <v>16957.319391302</v>
      </c>
      <c r="K18" s="50">
        <f t="shared" si="1"/>
        <v>16957.319391302</v>
      </c>
      <c r="L18" s="53">
        <f t="shared" si="2"/>
        <v>16957.319391302</v>
      </c>
      <c r="M18" s="52">
        <f t="shared" si="3"/>
        <v>188414.65990335552</v>
      </c>
      <c r="N18" s="52">
        <f t="shared" si="3"/>
        <v>188414.65990335552</v>
      </c>
      <c r="O18" s="52">
        <f t="shared" si="3"/>
        <v>188414.65990335552</v>
      </c>
      <c r="P18" s="34"/>
      <c r="Q18" s="52">
        <f xml:space="preserve"> Fig_historico_Kaya!K28</f>
        <v>17.192104021673195</v>
      </c>
      <c r="R18" s="52">
        <f>Fig_historico_Kaya!K28</f>
        <v>17.192104021673195</v>
      </c>
      <c r="S18" s="52">
        <f>Fig_historico_Kaya!K28</f>
        <v>17.192104021673195</v>
      </c>
      <c r="T18" s="52"/>
      <c r="U18" s="52">
        <f>Fig_historico_Kaya!L28</f>
        <v>1.5472893619505879</v>
      </c>
      <c r="V18" s="52">
        <f>Fig_historico_Kaya!L28</f>
        <v>1.5472893619505879</v>
      </c>
      <c r="W18" s="78">
        <f>Fig_historico_Kaya!L28</f>
        <v>1.5472893619505879</v>
      </c>
      <c r="X18" s="7"/>
      <c r="Y18" s="5"/>
    </row>
    <row r="19" spans="1:25" ht="15.75" x14ac:dyDescent="0.25">
      <c r="A19" s="75">
        <v>2015</v>
      </c>
      <c r="B19" s="5">
        <v>158.96848906299999</v>
      </c>
      <c r="C19" s="5">
        <v>158.96848906299999</v>
      </c>
      <c r="D19" s="5">
        <v>158.96848906299999</v>
      </c>
      <c r="E19" s="34"/>
      <c r="F19" s="48">
        <v>2728.9560408150001</v>
      </c>
      <c r="G19" s="48">
        <v>2728.9560408150001</v>
      </c>
      <c r="H19" s="48">
        <v>2728.9560408150001</v>
      </c>
      <c r="I19" s="49"/>
      <c r="J19" s="50">
        <f t="shared" si="0"/>
        <v>17036.120056485001</v>
      </c>
      <c r="K19" s="50">
        <f t="shared" si="1"/>
        <v>17036.120056485001</v>
      </c>
      <c r="L19" s="53">
        <f t="shared" si="2"/>
        <v>17036.120056485001</v>
      </c>
      <c r="M19" s="52">
        <f t="shared" si="3"/>
        <v>189290.22284983331</v>
      </c>
      <c r="N19" s="52">
        <f t="shared" si="3"/>
        <v>189290.22284983331</v>
      </c>
      <c r="O19" s="52">
        <f t="shared" si="3"/>
        <v>189290.22284983331</v>
      </c>
      <c r="P19" s="34"/>
      <c r="Q19" s="52">
        <f xml:space="preserve"> Fig_historico_Kaya!K29</f>
        <v>16.575707500711399</v>
      </c>
      <c r="R19" s="52">
        <f>Fig_historico_Kaya!K29</f>
        <v>16.575707500711399</v>
      </c>
      <c r="S19" s="52">
        <f>Fig_historico_Kaya!K29</f>
        <v>16.575707500711399</v>
      </c>
      <c r="T19" s="52"/>
      <c r="U19" s="52">
        <f>Fig_historico_Kaya!L29</f>
        <v>1.4918136750640261</v>
      </c>
      <c r="V19" s="52">
        <f>Fig_historico_Kaya!L29</f>
        <v>1.4918136750640261</v>
      </c>
      <c r="W19" s="78">
        <f>Fig_historico_Kaya!L29</f>
        <v>1.4918136750640261</v>
      </c>
      <c r="X19" s="7"/>
      <c r="Y19" s="5"/>
    </row>
    <row r="20" spans="1:25" ht="15.75" x14ac:dyDescent="0.25">
      <c r="A20" s="75">
        <v>2016</v>
      </c>
      <c r="B20" s="5">
        <v>151.72646445199999</v>
      </c>
      <c r="C20" s="5">
        <v>151.72646445199999</v>
      </c>
      <c r="D20" s="5">
        <v>151.72646445199999</v>
      </c>
      <c r="E20" s="34"/>
      <c r="F20" s="48">
        <v>2677.9105025569997</v>
      </c>
      <c r="G20" s="48">
        <v>2677.9105025569997</v>
      </c>
      <c r="H20" s="48">
        <v>2677.9105025569997</v>
      </c>
      <c r="I20" s="49"/>
      <c r="J20" s="50">
        <f t="shared" si="0"/>
        <v>16333.292303236998</v>
      </c>
      <c r="K20" s="50">
        <f t="shared" si="1"/>
        <v>16333.292303236998</v>
      </c>
      <c r="L20" s="53">
        <f t="shared" si="2"/>
        <v>16333.292303236998</v>
      </c>
      <c r="M20" s="52">
        <f t="shared" si="3"/>
        <v>181481.02559152219</v>
      </c>
      <c r="N20" s="52">
        <f t="shared" si="3"/>
        <v>181481.02559152219</v>
      </c>
      <c r="O20" s="52">
        <f t="shared" si="3"/>
        <v>181481.02559152219</v>
      </c>
      <c r="P20" s="34"/>
      <c r="Q20" s="52">
        <f xml:space="preserve"> Fig_historico_Kaya!K30</f>
        <v>16.189969992583379</v>
      </c>
      <c r="R20" s="52">
        <f>Fig_historico_Kaya!K30</f>
        <v>16.189969992583379</v>
      </c>
      <c r="S20" s="52">
        <f>Fig_historico_Kaya!K30</f>
        <v>16.189969992583379</v>
      </c>
      <c r="T20" s="52"/>
      <c r="U20" s="52">
        <f>Fig_historico_Kaya!L30</f>
        <v>1.457097299332504</v>
      </c>
      <c r="V20" s="52">
        <f>Fig_historico_Kaya!L30</f>
        <v>1.457097299332504</v>
      </c>
      <c r="W20" s="78">
        <f>Fig_historico_Kaya!L30</f>
        <v>1.457097299332504</v>
      </c>
      <c r="X20" s="7"/>
      <c r="Y20" s="5"/>
    </row>
    <row r="21" spans="1:25" ht="15.75" x14ac:dyDescent="0.25">
      <c r="A21" s="75">
        <v>2017</v>
      </c>
      <c r="B21" s="5">
        <v>156.25581878899999</v>
      </c>
      <c r="C21" s="5">
        <v>156.25581878899999</v>
      </c>
      <c r="D21" s="5">
        <v>156.25581878899999</v>
      </c>
      <c r="E21" s="34"/>
      <c r="F21" s="48">
        <v>2794.038987288</v>
      </c>
      <c r="G21" s="48">
        <v>2794.038987288</v>
      </c>
      <c r="H21" s="48">
        <v>2794.038987288</v>
      </c>
      <c r="I21" s="49"/>
      <c r="J21" s="50">
        <f t="shared" si="0"/>
        <v>16857.062678297996</v>
      </c>
      <c r="K21" s="50">
        <f t="shared" si="1"/>
        <v>16857.062678297996</v>
      </c>
      <c r="L21" s="53">
        <f t="shared" si="2"/>
        <v>16857.062678297996</v>
      </c>
      <c r="M21" s="52">
        <f t="shared" si="3"/>
        <v>187300.69642553333</v>
      </c>
      <c r="N21" s="52">
        <f t="shared" si="3"/>
        <v>187300.69642553333</v>
      </c>
      <c r="O21" s="52">
        <f t="shared" si="3"/>
        <v>187300.69642553333</v>
      </c>
      <c r="P21" s="34"/>
      <c r="Q21" s="52">
        <f xml:space="preserve"> Fig_historico_Kaya!K31</f>
        <v>15.45628273693449</v>
      </c>
      <c r="R21" s="52">
        <f>Fig_historico_Kaya!K31</f>
        <v>15.45628273693449</v>
      </c>
      <c r="S21" s="52">
        <f>Fig_historico_Kaya!K31</f>
        <v>15.45628273693449</v>
      </c>
      <c r="T21" s="52"/>
      <c r="U21" s="52">
        <f>Fig_historico_Kaya!L31</f>
        <v>1.3910654463241039</v>
      </c>
      <c r="V21" s="52">
        <f>Fig_historico_Kaya!L31</f>
        <v>1.3910654463241039</v>
      </c>
      <c r="W21" s="78">
        <f>Fig_historico_Kaya!L31</f>
        <v>1.3910654463241039</v>
      </c>
      <c r="X21" s="7"/>
      <c r="Y21" s="5"/>
    </row>
    <row r="22" spans="1:25" ht="15.75" x14ac:dyDescent="0.25">
      <c r="A22" s="75">
        <v>2018</v>
      </c>
      <c r="B22" s="5">
        <v>167.19784079499999</v>
      </c>
      <c r="C22" s="5">
        <v>167.19784079499999</v>
      </c>
      <c r="D22" s="5">
        <v>167.19784079499999</v>
      </c>
      <c r="E22" s="34"/>
      <c r="F22" s="48">
        <v>3357.9307811150002</v>
      </c>
      <c r="G22" s="48">
        <v>3357.9307811150002</v>
      </c>
      <c r="H22" s="48">
        <v>3357.9307811150002</v>
      </c>
      <c r="I22" s="49"/>
      <c r="J22" s="50">
        <f t="shared" si="0"/>
        <v>18405.736452665002</v>
      </c>
      <c r="K22" s="50">
        <f t="shared" si="1"/>
        <v>18405.736452665002</v>
      </c>
      <c r="L22" s="53">
        <f t="shared" si="2"/>
        <v>18405.736452665002</v>
      </c>
      <c r="M22" s="52">
        <f t="shared" si="3"/>
        <v>204508.18280738889</v>
      </c>
      <c r="N22" s="52">
        <f t="shared" si="3"/>
        <v>204508.18280738889</v>
      </c>
      <c r="O22" s="52">
        <f t="shared" si="3"/>
        <v>204508.18280738889</v>
      </c>
      <c r="P22" s="34"/>
      <c r="Q22" s="52">
        <f xml:space="preserve"> Fig_historico_Kaya!K32</f>
        <v>15.149716147876603</v>
      </c>
      <c r="R22" s="52">
        <f>Fig_historico_Kaya!K32</f>
        <v>15.149716147876603</v>
      </c>
      <c r="S22" s="52">
        <f>Fig_historico_Kaya!K32</f>
        <v>15.149716147876603</v>
      </c>
      <c r="T22" s="52"/>
      <c r="U22" s="52">
        <f>Fig_historico_Kaya!L32</f>
        <v>1.3634744533088945</v>
      </c>
      <c r="V22" s="52">
        <f>Fig_historico_Kaya!L32</f>
        <v>1.3634744533088945</v>
      </c>
      <c r="W22" s="78">
        <f>Fig_historico_Kaya!L32</f>
        <v>1.3634744533088945</v>
      </c>
      <c r="X22" s="7"/>
      <c r="Y22" s="5"/>
    </row>
    <row r="23" spans="1:25" ht="15.75" x14ac:dyDescent="0.25">
      <c r="A23" s="75">
        <v>2019</v>
      </c>
      <c r="B23" s="5">
        <v>168.44227433700001</v>
      </c>
      <c r="C23" s="5">
        <v>168.44227433700001</v>
      </c>
      <c r="D23" s="5">
        <v>168.44227433700001</v>
      </c>
      <c r="E23" s="34"/>
      <c r="F23" s="48">
        <v>3008.1193706980002</v>
      </c>
      <c r="G23" s="48">
        <v>3008.1193706980002</v>
      </c>
      <c r="H23" s="48">
        <v>3008.1193706980002</v>
      </c>
      <c r="I23" s="49"/>
      <c r="J23" s="50">
        <f t="shared" si="0"/>
        <v>18167.924061027999</v>
      </c>
      <c r="K23" s="50">
        <f t="shared" si="1"/>
        <v>18167.924061027999</v>
      </c>
      <c r="L23" s="53">
        <f t="shared" si="2"/>
        <v>18167.924061027999</v>
      </c>
      <c r="M23" s="52">
        <f t="shared" si="3"/>
        <v>201865.82290031112</v>
      </c>
      <c r="N23" s="52">
        <f t="shared" si="3"/>
        <v>201865.82290031112</v>
      </c>
      <c r="O23" s="52">
        <f t="shared" si="3"/>
        <v>201865.82290031112</v>
      </c>
      <c r="P23" s="34"/>
      <c r="Q23" s="52">
        <f xml:space="preserve"> Fig_historico_Kaya!K33</f>
        <v>14.955053322070425</v>
      </c>
      <c r="R23" s="52">
        <f>Fig_historico_Kaya!K33</f>
        <v>14.955053322070425</v>
      </c>
      <c r="S23" s="52">
        <f>Fig_historico_Kaya!K33</f>
        <v>14.955053322070425</v>
      </c>
      <c r="T23" s="52"/>
      <c r="U23" s="52">
        <f>Fig_historico_Kaya!L33</f>
        <v>1.3459547989863381</v>
      </c>
      <c r="V23" s="52">
        <f>Fig_historico_Kaya!L33</f>
        <v>1.3459547989863381</v>
      </c>
      <c r="W23" s="78">
        <f>Fig_historico_Kaya!L33</f>
        <v>1.3459547989863381</v>
      </c>
      <c r="X23" s="7"/>
      <c r="Y23" s="5"/>
    </row>
    <row r="24" spans="1:25" ht="15.75" x14ac:dyDescent="0.25">
      <c r="A24" s="75">
        <v>2020</v>
      </c>
      <c r="B24" s="5">
        <v>69.440312754999994</v>
      </c>
      <c r="C24" s="5">
        <v>69.440312754999994</v>
      </c>
      <c r="D24" s="5">
        <v>69.440312754999994</v>
      </c>
      <c r="E24" s="34"/>
      <c r="F24" s="48">
        <v>2414.819966732</v>
      </c>
      <c r="G24" s="48">
        <v>2414.819966732</v>
      </c>
      <c r="H24" s="48">
        <v>2414.819966732</v>
      </c>
      <c r="I24" s="49"/>
      <c r="J24" s="50">
        <f t="shared" si="0"/>
        <v>8664.4481146819999</v>
      </c>
      <c r="K24" s="50">
        <f t="shared" si="1"/>
        <v>8664.4481146819999</v>
      </c>
      <c r="L24" s="53">
        <f t="shared" si="2"/>
        <v>8664.4481146819999</v>
      </c>
      <c r="M24" s="52">
        <f t="shared" si="3"/>
        <v>96271.645718688873</v>
      </c>
      <c r="N24" s="52">
        <f t="shared" si="3"/>
        <v>96271.645718688873</v>
      </c>
      <c r="O24" s="52">
        <f t="shared" si="3"/>
        <v>96271.645718688873</v>
      </c>
      <c r="P24" s="34"/>
      <c r="Q24" s="52">
        <f xml:space="preserve"> Fig_historico_Kaya!K34</f>
        <v>15.928959025806968</v>
      </c>
      <c r="R24" s="52">
        <f>Fig_historico_Kaya!K34</f>
        <v>15.928959025806968</v>
      </c>
      <c r="S24" s="52">
        <f>Fig_historico_Kaya!K34</f>
        <v>15.928959025806968</v>
      </c>
      <c r="T24" s="52"/>
      <c r="U24" s="52">
        <f>Fig_historico_Kaya!L34</f>
        <v>1.4336063123226273</v>
      </c>
      <c r="V24" s="52">
        <f>Fig_historico_Kaya!L34</f>
        <v>1.4336063123226273</v>
      </c>
      <c r="W24" s="78">
        <f>Fig_historico_Kaya!L34</f>
        <v>1.4336063123226273</v>
      </c>
      <c r="X24" s="7"/>
      <c r="Y24" s="5"/>
    </row>
    <row r="25" spans="1:25" ht="15.75" x14ac:dyDescent="0.25">
      <c r="A25" s="75">
        <v>2021</v>
      </c>
      <c r="B25" s="5">
        <v>87.453198087000004</v>
      </c>
      <c r="C25" s="5">
        <v>87.453198087000004</v>
      </c>
      <c r="D25" s="5">
        <v>87.453198087000004</v>
      </c>
      <c r="E25" s="34"/>
      <c r="F25" s="48">
        <v>3276.8287294619995</v>
      </c>
      <c r="G25" s="48">
        <v>3276.8287294619995</v>
      </c>
      <c r="H25" s="48">
        <v>3276.8287294619995</v>
      </c>
      <c r="I25" s="49"/>
      <c r="J25" s="50">
        <f t="shared" si="0"/>
        <v>11147.616557292</v>
      </c>
      <c r="K25" s="50">
        <f t="shared" si="1"/>
        <v>11147.616557292</v>
      </c>
      <c r="L25" s="53">
        <f t="shared" si="2"/>
        <v>11147.616557292</v>
      </c>
      <c r="M25" s="52">
        <f t="shared" si="3"/>
        <v>123862.40619213332</v>
      </c>
      <c r="N25" s="52">
        <f t="shared" si="3"/>
        <v>123862.40619213332</v>
      </c>
      <c r="O25" s="52">
        <f t="shared" si="3"/>
        <v>123862.40619213332</v>
      </c>
      <c r="P25" s="34"/>
      <c r="Q25" s="52">
        <f xml:space="preserve"> Fig_historico_Kaya!K35</f>
        <v>15.310341228534362</v>
      </c>
      <c r="R25" s="52">
        <f>Fig_historico_Kaya!K35</f>
        <v>15.310341228534362</v>
      </c>
      <c r="S25" s="52">
        <f>Fig_historico_Kaya!K35</f>
        <v>15.310341228534362</v>
      </c>
      <c r="T25" s="52"/>
      <c r="U25" s="52">
        <f>Fig_historico_Kaya!L35</f>
        <v>1.3779307105680929</v>
      </c>
      <c r="V25" s="52">
        <f>Fig_historico_Kaya!L35</f>
        <v>1.3779307105680929</v>
      </c>
      <c r="W25" s="78">
        <f>Fig_historico_Kaya!L35</f>
        <v>1.3779307105680929</v>
      </c>
      <c r="X25" s="7"/>
      <c r="Y25" s="5"/>
    </row>
    <row r="26" spans="1:25" ht="15.75" x14ac:dyDescent="0.25">
      <c r="A26" s="75">
        <v>2022</v>
      </c>
      <c r="B26" s="5">
        <v>141.30989297159999</v>
      </c>
      <c r="C26" s="5">
        <v>141.30989297159999</v>
      </c>
      <c r="D26" s="5">
        <v>141.30989297159999</v>
      </c>
      <c r="E26" s="34"/>
      <c r="F26" s="48">
        <v>3151.798699765</v>
      </c>
      <c r="G26" s="48">
        <v>3151.798699765</v>
      </c>
      <c r="H26" s="48">
        <v>3151.798699765</v>
      </c>
      <c r="I26" s="49"/>
      <c r="J26" s="50">
        <f t="shared" si="0"/>
        <v>15869.689067208999</v>
      </c>
      <c r="K26" s="50">
        <f t="shared" si="1"/>
        <v>15869.689067208999</v>
      </c>
      <c r="L26" s="53">
        <f t="shared" si="2"/>
        <v>15869.689067208999</v>
      </c>
      <c r="M26" s="52">
        <f t="shared" si="3"/>
        <v>176329.87852454445</v>
      </c>
      <c r="N26" s="52">
        <f t="shared" si="3"/>
        <v>176329.87852454445</v>
      </c>
      <c r="O26" s="52">
        <f t="shared" si="3"/>
        <v>176329.87852454445</v>
      </c>
      <c r="P26" s="34"/>
      <c r="Q26" s="52">
        <f xml:space="preserve"> Fig_historico_Kaya!K36</f>
        <v>14.706149427046395</v>
      </c>
      <c r="R26" s="52">
        <f>Fig_historico_Kaya!K36</f>
        <v>14.706149427046395</v>
      </c>
      <c r="S26" s="52">
        <f>Fig_historico_Kaya!K36</f>
        <v>14.706149427046395</v>
      </c>
      <c r="T26" s="52"/>
      <c r="U26" s="52">
        <f>Fig_historico_Kaya!L36</f>
        <v>1.3235534484341756</v>
      </c>
      <c r="V26" s="52">
        <f>Fig_historico_Kaya!L36</f>
        <v>1.3235534484341756</v>
      </c>
      <c r="W26" s="78">
        <f>Fig_historico_Kaya!L36</f>
        <v>1.3235534484341756</v>
      </c>
      <c r="X26" s="7"/>
      <c r="Y26" s="5"/>
    </row>
    <row r="27" spans="1:25" ht="15.75" x14ac:dyDescent="0.25">
      <c r="A27" s="76">
        <v>2023</v>
      </c>
      <c r="B27" s="13">
        <v>161.86390288799998</v>
      </c>
      <c r="C27" s="13">
        <v>161.86390288799998</v>
      </c>
      <c r="D27" s="13">
        <v>161.86390288799998</v>
      </c>
      <c r="E27" s="35"/>
      <c r="F27" s="54">
        <v>3088.471982299</v>
      </c>
      <c r="G27" s="54">
        <v>3088.471982299</v>
      </c>
      <c r="H27" s="54">
        <v>3088.471982299</v>
      </c>
      <c r="I27" s="55"/>
      <c r="J27" s="56">
        <f t="shared" si="0"/>
        <v>17656.223242218999</v>
      </c>
      <c r="K27" s="56">
        <f t="shared" si="1"/>
        <v>17656.223242218999</v>
      </c>
      <c r="L27" s="57">
        <f t="shared" si="2"/>
        <v>17656.223242218999</v>
      </c>
      <c r="M27" s="58">
        <f t="shared" si="3"/>
        <v>196180.25824687775</v>
      </c>
      <c r="N27" s="58">
        <f t="shared" si="3"/>
        <v>196180.25824687775</v>
      </c>
      <c r="O27" s="58">
        <f t="shared" si="3"/>
        <v>196180.25824687775</v>
      </c>
      <c r="P27" s="35"/>
      <c r="Q27" s="58">
        <f xml:space="preserve"> Fig_historico_Kaya!K37</f>
        <v>14.812096445987896</v>
      </c>
      <c r="R27" s="58">
        <f>Fig_historico_Kaya!K37</f>
        <v>14.812096445987896</v>
      </c>
      <c r="S27" s="58">
        <f>Fig_historico_Kaya!K37</f>
        <v>14.812096445987896</v>
      </c>
      <c r="T27" s="58"/>
      <c r="U27" s="58">
        <f>Fig_historico_Kaya!L37</f>
        <v>1.3330886801389106</v>
      </c>
      <c r="V27" s="58">
        <f>Fig_historico_Kaya!L37</f>
        <v>1.3330886801389106</v>
      </c>
      <c r="W27" s="79">
        <f>Fig_historico_Kaya!L37</f>
        <v>1.3330886801389106</v>
      </c>
    </row>
    <row r="28" spans="1:25" ht="15.75" x14ac:dyDescent="0.25">
      <c r="A28" s="77">
        <v>2024</v>
      </c>
      <c r="B28" s="60">
        <f>B23</f>
        <v>168.44227433700001</v>
      </c>
      <c r="C28" s="61">
        <f xml:space="preserve"> C23</f>
        <v>168.44227433700001</v>
      </c>
      <c r="D28" s="61">
        <f xml:space="preserve"> D23</f>
        <v>168.44227433700001</v>
      </c>
      <c r="E28" s="36"/>
      <c r="F28" s="62">
        <f xml:space="preserve"> F27*Fig_historico_Kaya!$P$39 + F27</f>
        <v>3182.1373913473217</v>
      </c>
      <c r="G28" s="61">
        <f xml:space="preserve"> ($G$27/($B$94^(1.29)))*B95^(1.29)</f>
        <v>3209.8382747022033</v>
      </c>
      <c r="H28" s="61">
        <f xml:space="preserve"> ($H$27/($B$94^(1.59)))*B95^(1.59)</f>
        <v>3238.7397754415169</v>
      </c>
      <c r="I28" s="63"/>
      <c r="J28" s="64">
        <f t="shared" ref="J28:J54" si="4">(((B28*10^3)*90)/10^3)+F28</f>
        <v>18341.94208167732</v>
      </c>
      <c r="K28" s="61">
        <f xml:space="preserve"> (((C28*10^3)*90)/10^3)+G28</f>
        <v>18369.642965032202</v>
      </c>
      <c r="L28" s="65">
        <f xml:space="preserve"> (((D28*10^3)*90)/10^3)+H28</f>
        <v>18398.544465771516</v>
      </c>
      <c r="M28" s="66">
        <f t="shared" si="3"/>
        <v>203799.35646308138</v>
      </c>
      <c r="N28" s="66">
        <f xml:space="preserve"> ((G28*10^3)/90)+(C28*10^3)</f>
        <v>204107.14405591338</v>
      </c>
      <c r="O28" s="66">
        <f>((28*10^3)/90)+(D28*10^3)</f>
        <v>168753.38544811113</v>
      </c>
      <c r="P28" s="36"/>
      <c r="Q28" s="66">
        <f xml:space="preserve"> Q27*0.9904</f>
        <v>14.669900320106411</v>
      </c>
      <c r="R28" s="66">
        <f>(($R$54-$R$27)/27)+R27</f>
        <v>14.66342688536335</v>
      </c>
      <c r="S28" s="66">
        <f xml:space="preserve"> (($S$54-$S$27)/27)+S27</f>
        <v>14.625025153836715</v>
      </c>
      <c r="T28" s="66"/>
      <c r="U28" s="66">
        <f xml:space="preserve"> U27*0.9904</f>
        <v>1.320291028809577</v>
      </c>
      <c r="V28" s="66">
        <f>(($V$54-$V$27)/27)+V27</f>
        <v>1.3197577933375215</v>
      </c>
      <c r="W28" s="80">
        <f>(($W$54-$W$27)/27)+W27</f>
        <v>1.3162522638453042</v>
      </c>
      <c r="X28" s="61"/>
      <c r="Y28" s="5"/>
    </row>
    <row r="29" spans="1:25" ht="15.75" x14ac:dyDescent="0.25">
      <c r="A29" s="77">
        <v>2025</v>
      </c>
      <c r="B29" s="60">
        <f xml:space="preserve"> $B28 + Fig_historico_Kaya!P$39*$B28</f>
        <v>173.55069514095385</v>
      </c>
      <c r="C29" s="61">
        <f xml:space="preserve"> ($C$28/($B$95^(1.29)))*B96^(1.29)</f>
        <v>175.0614745231799</v>
      </c>
      <c r="D29" s="61">
        <f xml:space="preserve"> ($D$28/($B$95^(1.59)))*B96^(1.59)</f>
        <v>176.63773441615737</v>
      </c>
      <c r="E29" s="36"/>
      <c r="F29" s="62">
        <f xml:space="preserve"> F28*Fig_historico_Kaya!$P$39 + F28</f>
        <v>3278.6434312650413</v>
      </c>
      <c r="G29" s="61">
        <f t="shared" ref="G29:G54" si="5" xml:space="preserve"> ($G$27/($B$94^(1.29)))*B96^(1.29)</f>
        <v>3335.9738436331268</v>
      </c>
      <c r="H29" s="61">
        <f t="shared" ref="H29:H54" si="6" xml:space="preserve"> ($H$27/($B$94^(1.59)))*B96^(1.59)</f>
        <v>3396.3187599386388</v>
      </c>
      <c r="I29" s="63"/>
      <c r="J29" s="64">
        <f t="shared" si="4"/>
        <v>18898.205993950887</v>
      </c>
      <c r="K29" s="61">
        <f xml:space="preserve"> (((C29*10^3)*90)/10^3)+G29</f>
        <v>19091.506550719318</v>
      </c>
      <c r="L29" s="65">
        <f t="shared" ref="L29:L53" si="7" xml:space="preserve"> (((D29*10^3)*90)/10^3)+H29</f>
        <v>19293.714857392803</v>
      </c>
      <c r="M29" s="66">
        <f t="shared" si="3"/>
        <v>209980.06659945429</v>
      </c>
      <c r="N29" s="66">
        <f xml:space="preserve"> ((G29*10^3)/90)+(C29*10^3)</f>
        <v>212127.85056354798</v>
      </c>
      <c r="O29" s="66">
        <f t="shared" ref="O29:O54" si="8">((28*10^3)/90)+(D29*10^3)</f>
        <v>176948.84552726851</v>
      </c>
      <c r="P29" s="36"/>
      <c r="Q29" s="66">
        <f t="shared" ref="Q29:Q54" si="9" xml:space="preserve"> Q28*0.9904</f>
        <v>14.529069277033388</v>
      </c>
      <c r="R29" s="66">
        <f t="shared" ref="R29:R53" si="10">(($R$54-$R$27)/27)+R28</f>
        <v>14.514757324738804</v>
      </c>
      <c r="S29" s="66">
        <f t="shared" ref="S29:S53" si="11" xml:space="preserve"> (($S$54-$S$27)/27)+S28</f>
        <v>14.437953861685534</v>
      </c>
      <c r="T29" s="66"/>
      <c r="U29" s="66">
        <f t="shared" ref="U29:U54" si="12" xml:space="preserve"> U28*0.9904</f>
        <v>1.3076162349330049</v>
      </c>
      <c r="V29" s="66">
        <f t="shared" ref="V29:V53" si="13">(($V$54-$V$27)/27)+V28</f>
        <v>1.3064269065361325</v>
      </c>
      <c r="W29" s="80">
        <f t="shared" ref="W29:W53" si="14">(($W$54-$W$27)/27)+W28</f>
        <v>1.2994158475516979</v>
      </c>
      <c r="X29" s="61"/>
      <c r="Y29" s="5"/>
    </row>
    <row r="30" spans="1:25" ht="15.75" x14ac:dyDescent="0.25">
      <c r="A30" s="77">
        <v>2026</v>
      </c>
      <c r="B30" s="60">
        <f xml:space="preserve"> $B29 + Fig_historico_Kaya!P$39*$B29</f>
        <v>178.81404120469168</v>
      </c>
      <c r="C30" s="61">
        <f t="shared" ref="C30:C54" si="15" xml:space="preserve"> ($C$28/($B$95^(1.29)))*B97^(1.29)</f>
        <v>181.94078643770783</v>
      </c>
      <c r="D30" s="61">
        <f t="shared" ref="D30:D54" si="16" xml:space="preserve"> ($D$28/($B$95^(1.59)))*B97^(1.59)</f>
        <v>185.23193979944594</v>
      </c>
      <c r="E30" s="36"/>
      <c r="F30" s="62">
        <f xml:space="preserve"> F29*Fig_historico_Kaya!$P$39 + F29</f>
        <v>3378.0762510779109</v>
      </c>
      <c r="G30" s="61">
        <f t="shared" si="5"/>
        <v>3467.0661052033338</v>
      </c>
      <c r="H30" s="61">
        <f t="shared" si="6"/>
        <v>3561.5646575182595</v>
      </c>
      <c r="I30" s="63"/>
      <c r="J30" s="64">
        <f t="shared" si="4"/>
        <v>19471.339959500165</v>
      </c>
      <c r="K30" s="61">
        <f t="shared" ref="K30:K54" si="17" xml:space="preserve"> (((C30*10^3)*90)/10^3)+G30</f>
        <v>19841.736884597038</v>
      </c>
      <c r="L30" s="65">
        <f t="shared" si="7"/>
        <v>20232.439239468393</v>
      </c>
      <c r="M30" s="66">
        <f t="shared" si="3"/>
        <v>216348.22177222403</v>
      </c>
      <c r="N30" s="66">
        <f t="shared" ref="N30:N54" si="18" xml:space="preserve"> ((G30*10^3)/90)+(C30*10^3)</f>
        <v>220463.74316218932</v>
      </c>
      <c r="O30" s="66">
        <f t="shared" si="8"/>
        <v>185543.05091055707</v>
      </c>
      <c r="P30" s="36"/>
      <c r="Q30" s="66">
        <f t="shared" si="9"/>
        <v>14.389590211973866</v>
      </c>
      <c r="R30" s="66">
        <f t="shared" si="10"/>
        <v>14.366087764114258</v>
      </c>
      <c r="S30" s="66">
        <f t="shared" si="11"/>
        <v>14.250882569534353</v>
      </c>
      <c r="T30" s="66">
        <v>0.21</v>
      </c>
      <c r="U30" s="66">
        <f t="shared" si="12"/>
        <v>1.295063119077648</v>
      </c>
      <c r="V30" s="66">
        <f t="shared" si="13"/>
        <v>1.2930960197347434</v>
      </c>
      <c r="W30" s="80">
        <f t="shared" si="14"/>
        <v>1.2825794312580916</v>
      </c>
      <c r="X30" s="61">
        <v>0.02</v>
      </c>
      <c r="Y30" s="5"/>
    </row>
    <row r="31" spans="1:25" ht="15.75" x14ac:dyDescent="0.25">
      <c r="A31" s="77">
        <v>2027</v>
      </c>
      <c r="B31" s="60">
        <f xml:space="preserve"> $B30 + Fig_historico_Kaya!P$39*$B30</f>
        <v>184.23701101274332</v>
      </c>
      <c r="C31" s="61">
        <f t="shared" si="15"/>
        <v>189.09043157401584</v>
      </c>
      <c r="D31" s="61">
        <f t="shared" si="16"/>
        <v>194.24429120580419</v>
      </c>
      <c r="E31" s="36"/>
      <c r="F31" s="62">
        <f xml:space="preserve"> F30*Fig_historico_Kaya!$P$39 + F30</f>
        <v>3480.5246124899854</v>
      </c>
      <c r="G31" s="61">
        <f t="shared" si="5"/>
        <v>3603.3098403309291</v>
      </c>
      <c r="H31" s="61">
        <f t="shared" si="6"/>
        <v>3734.8504973403424</v>
      </c>
      <c r="I31" s="63"/>
      <c r="J31" s="64">
        <f t="shared" si="4"/>
        <v>20061.855603636883</v>
      </c>
      <c r="K31" s="61">
        <f t="shared" si="17"/>
        <v>20621.448681992359</v>
      </c>
      <c r="L31" s="65">
        <f t="shared" si="7"/>
        <v>21216.836705862719</v>
      </c>
      <c r="M31" s="66">
        <f t="shared" si="3"/>
        <v>222909.50670707648</v>
      </c>
      <c r="N31" s="66">
        <f t="shared" si="18"/>
        <v>229127.20757769284</v>
      </c>
      <c r="O31" s="66">
        <f t="shared" si="8"/>
        <v>194555.40231691531</v>
      </c>
      <c r="P31" s="36"/>
      <c r="Q31" s="66">
        <f t="shared" si="9"/>
        <v>14.251450145938916</v>
      </c>
      <c r="R31" s="66">
        <f t="shared" si="10"/>
        <v>14.217418203489713</v>
      </c>
      <c r="S31" s="66">
        <f t="shared" si="11"/>
        <v>14.063811277383172</v>
      </c>
      <c r="T31" s="66"/>
      <c r="U31" s="66">
        <f t="shared" si="12"/>
        <v>1.2826305131345026</v>
      </c>
      <c r="V31" s="66">
        <f t="shared" si="13"/>
        <v>1.2797651329333544</v>
      </c>
      <c r="W31" s="80">
        <f t="shared" si="14"/>
        <v>1.2657430149644853</v>
      </c>
      <c r="X31" s="61"/>
      <c r="Y31" s="5"/>
    </row>
    <row r="32" spans="1:25" ht="15.75" x14ac:dyDescent="0.25">
      <c r="A32" s="77">
        <v>2028</v>
      </c>
      <c r="B32" s="60">
        <f xml:space="preserve"> $B31 + Fig_historico_Kaya!P$39*$B31</f>
        <v>189.82444554258589</v>
      </c>
      <c r="C32" s="61">
        <f t="shared" si="15"/>
        <v>196.52103309495857</v>
      </c>
      <c r="D32" s="61">
        <f t="shared" si="16"/>
        <v>203.6951332847737</v>
      </c>
      <c r="E32" s="36"/>
      <c r="F32" s="62">
        <f xml:space="preserve"> F31*Fig_historico_Kaya!$P$39 + F31</f>
        <v>3586.0799691194325</v>
      </c>
      <c r="G32" s="61">
        <f t="shared" si="5"/>
        <v>3744.9074841520041</v>
      </c>
      <c r="H32" s="61">
        <f t="shared" si="6"/>
        <v>3916.5674580798795</v>
      </c>
      <c r="I32" s="63"/>
      <c r="J32" s="64">
        <f t="shared" si="4"/>
        <v>20670.280067952164</v>
      </c>
      <c r="K32" s="61">
        <f t="shared" si="17"/>
        <v>21431.800462698277</v>
      </c>
      <c r="L32" s="65">
        <f t="shared" si="7"/>
        <v>22249.129453709516</v>
      </c>
      <c r="M32" s="66">
        <f t="shared" si="3"/>
        <v>229669.77853280181</v>
      </c>
      <c r="N32" s="66">
        <f t="shared" si="18"/>
        <v>238131.11625220306</v>
      </c>
      <c r="O32" s="66">
        <f t="shared" si="8"/>
        <v>204006.24439588483</v>
      </c>
      <c r="P32" s="36"/>
      <c r="Q32" s="66">
        <f t="shared" si="9"/>
        <v>14.114636224537902</v>
      </c>
      <c r="R32" s="66">
        <f t="shared" si="10"/>
        <v>14.068748642865167</v>
      </c>
      <c r="S32" s="66">
        <f t="shared" si="11"/>
        <v>13.876739985231991</v>
      </c>
      <c r="T32" s="66"/>
      <c r="U32" s="66">
        <f t="shared" si="12"/>
        <v>1.2703172602084114</v>
      </c>
      <c r="V32" s="66">
        <f t="shared" si="13"/>
        <v>1.2664342461319653</v>
      </c>
      <c r="W32" s="80">
        <f t="shared" si="14"/>
        <v>1.2489065986708789</v>
      </c>
      <c r="X32" s="61"/>
      <c r="Y32" s="5"/>
    </row>
    <row r="33" spans="1:25" ht="15.75" x14ac:dyDescent="0.25">
      <c r="A33" s="77">
        <v>2029</v>
      </c>
      <c r="B33" s="60">
        <f xml:space="preserve"> $B32 + Fig_historico_Kaya!P$39*$B32</f>
        <v>195.58133258608825</v>
      </c>
      <c r="C33" s="61">
        <f t="shared" si="15"/>
        <v>204.24363161703684</v>
      </c>
      <c r="D33" s="61">
        <f t="shared" si="16"/>
        <v>213.60580054288792</v>
      </c>
      <c r="E33" s="36"/>
      <c r="F33" s="62">
        <f xml:space="preserve"> F32*Fig_historico_Kaya!$P$39 + F32</f>
        <v>3694.8365481373626</v>
      </c>
      <c r="G33" s="61">
        <f t="shared" si="5"/>
        <v>3892.069426805022</v>
      </c>
      <c r="H33" s="61">
        <f t="shared" si="6"/>
        <v>4107.1257509808784</v>
      </c>
      <c r="I33" s="63"/>
      <c r="J33" s="64">
        <f t="shared" si="4"/>
        <v>21297.156480885304</v>
      </c>
      <c r="K33" s="61">
        <f t="shared" si="17"/>
        <v>22273.996272338336</v>
      </c>
      <c r="L33" s="65">
        <f t="shared" si="7"/>
        <v>23331.64779984079</v>
      </c>
      <c r="M33" s="66">
        <f t="shared" si="3"/>
        <v>236635.07200983673</v>
      </c>
      <c r="N33" s="66">
        <f t="shared" si="18"/>
        <v>247488.847470426</v>
      </c>
      <c r="O33" s="66">
        <f t="shared" si="8"/>
        <v>213916.91165399904</v>
      </c>
      <c r="P33" s="36"/>
      <c r="Q33" s="66">
        <f t="shared" si="9"/>
        <v>13.979135716782338</v>
      </c>
      <c r="R33" s="66">
        <f t="shared" si="10"/>
        <v>13.920079082240621</v>
      </c>
      <c r="S33" s="66">
        <f t="shared" si="11"/>
        <v>13.68966869308081</v>
      </c>
      <c r="T33" s="66"/>
      <c r="U33" s="66">
        <f t="shared" si="12"/>
        <v>1.2581222145104105</v>
      </c>
      <c r="V33" s="66">
        <f t="shared" si="13"/>
        <v>1.2531033593305763</v>
      </c>
      <c r="W33" s="80">
        <f t="shared" si="14"/>
        <v>1.2320701823772726</v>
      </c>
      <c r="X33" s="61"/>
    </row>
    <row r="34" spans="1:25" ht="15.75" x14ac:dyDescent="0.25">
      <c r="A34" s="77">
        <v>2030</v>
      </c>
      <c r="B34" s="60">
        <f xml:space="preserve"> $B33 + Fig_historico_Kaya!P$39*$B33</f>
        <v>201.51281120201384</v>
      </c>
      <c r="C34" s="61">
        <f t="shared" si="15"/>
        <v>212.26970161488524</v>
      </c>
      <c r="D34" s="61">
        <f t="shared" si="16"/>
        <v>223.99866550458566</v>
      </c>
      <c r="E34" s="36"/>
      <c r="F34" s="62">
        <f xml:space="preserve"> F33*Fig_historico_Kaya!$P$39 + F33</f>
        <v>3806.8914343825541</v>
      </c>
      <c r="G34" s="61">
        <f t="shared" si="5"/>
        <v>4045.0143260349532</v>
      </c>
      <c r="H34" s="61">
        <f t="shared" si="6"/>
        <v>4306.9555458748864</v>
      </c>
      <c r="I34" s="63"/>
      <c r="J34" s="64">
        <f t="shared" si="4"/>
        <v>21943.044442563798</v>
      </c>
      <c r="K34" s="61">
        <f t="shared" si="17"/>
        <v>23149.287471374624</v>
      </c>
      <c r="L34" s="65">
        <f t="shared" si="7"/>
        <v>24466.835441287596</v>
      </c>
      <c r="M34" s="66">
        <f t="shared" si="3"/>
        <v>243811.60491737555</v>
      </c>
      <c r="N34" s="66">
        <f t="shared" si="18"/>
        <v>257214.30523749584</v>
      </c>
      <c r="O34" s="66">
        <f t="shared" si="8"/>
        <v>224309.77661569678</v>
      </c>
      <c r="P34" s="36"/>
      <c r="Q34" s="66">
        <f t="shared" si="9"/>
        <v>13.844936013901227</v>
      </c>
      <c r="R34" s="66">
        <f t="shared" si="10"/>
        <v>13.771409521616075</v>
      </c>
      <c r="S34" s="66">
        <f t="shared" si="11"/>
        <v>13.502597400929629</v>
      </c>
      <c r="T34" s="66"/>
      <c r="U34" s="66">
        <f t="shared" si="12"/>
        <v>1.2460442412511106</v>
      </c>
      <c r="V34" s="66">
        <f t="shared" si="13"/>
        <v>1.2397724725291872</v>
      </c>
      <c r="W34" s="80">
        <f t="shared" si="14"/>
        <v>1.2152337660836663</v>
      </c>
      <c r="X34" s="61"/>
    </row>
    <row r="35" spans="1:25" ht="15.75" x14ac:dyDescent="0.25">
      <c r="A35" s="77">
        <v>2031</v>
      </c>
      <c r="B35" s="60">
        <f xml:space="preserve"> $B34 + Fig_historico_Kaya!P$39*$B34</f>
        <v>207.62417630355631</v>
      </c>
      <c r="C35" s="61">
        <f t="shared" si="15"/>
        <v>220.61116847039995</v>
      </c>
      <c r="D35" s="61">
        <f t="shared" si="16"/>
        <v>234.89718921636216</v>
      </c>
      <c r="E35" s="36"/>
      <c r="F35" s="62">
        <f xml:space="preserve"> F34*Fig_historico_Kaya!$P$39 + F34</f>
        <v>3922.3446570271599</v>
      </c>
      <c r="G35" s="61">
        <f t="shared" si="5"/>
        <v>4203.969432081687</v>
      </c>
      <c r="H35" s="61">
        <f t="shared" si="6"/>
        <v>4516.5079422543367</v>
      </c>
      <c r="I35" s="63"/>
      <c r="J35" s="64">
        <f t="shared" si="4"/>
        <v>22608.520524347226</v>
      </c>
      <c r="K35" s="61">
        <f t="shared" si="17"/>
        <v>24058.974594417683</v>
      </c>
      <c r="L35" s="65">
        <f t="shared" si="7"/>
        <v>25657.254971726928</v>
      </c>
      <c r="M35" s="66">
        <f t="shared" si="3"/>
        <v>251205.78360385809</v>
      </c>
      <c r="N35" s="66">
        <f t="shared" si="18"/>
        <v>267321.93993797427</v>
      </c>
      <c r="O35" s="66">
        <f t="shared" si="8"/>
        <v>235208.30032747329</v>
      </c>
      <c r="P35" s="36"/>
      <c r="Q35" s="66">
        <f t="shared" si="9"/>
        <v>13.712024628167775</v>
      </c>
      <c r="R35" s="66">
        <f t="shared" si="10"/>
        <v>13.622739960991529</v>
      </c>
      <c r="S35" s="66">
        <f t="shared" si="11"/>
        <v>13.315526108778448</v>
      </c>
      <c r="T35" s="66"/>
      <c r="U35" s="66">
        <f t="shared" si="12"/>
        <v>1.2340822165350998</v>
      </c>
      <c r="V35" s="66">
        <f t="shared" si="13"/>
        <v>1.2264415857277982</v>
      </c>
      <c r="W35" s="80">
        <f t="shared" si="14"/>
        <v>1.19839734979006</v>
      </c>
      <c r="X35" s="61"/>
    </row>
    <row r="36" spans="1:25" ht="15.75" x14ac:dyDescent="0.25">
      <c r="A36" s="77">
        <v>2032</v>
      </c>
      <c r="B36" s="60">
        <f xml:space="preserve"> $B35 + Fig_historico_Kaya!P$39*$B35</f>
        <v>213.92088338500355</v>
      </c>
      <c r="C36" s="61">
        <f t="shared" si="15"/>
        <v>229.28042619183807</v>
      </c>
      <c r="D36" s="61">
        <f t="shared" si="16"/>
        <v>246.32597420817174</v>
      </c>
      <c r="E36" s="63"/>
      <c r="F36" s="62">
        <f xml:space="preserve"> F35*Fig_historico_Kaya!$P$39 + F35</f>
        <v>4041.2992788707652</v>
      </c>
      <c r="G36" s="61">
        <f t="shared" si="5"/>
        <v>4369.1709253354347</v>
      </c>
      <c r="H36" s="61">
        <f t="shared" si="6"/>
        <v>4736.2559875929292</v>
      </c>
      <c r="I36" s="63"/>
      <c r="J36" s="64">
        <f t="shared" si="4"/>
        <v>23294.178783521085</v>
      </c>
      <c r="K36" s="61">
        <f t="shared" si="17"/>
        <v>25004.409282600864</v>
      </c>
      <c r="L36" s="65">
        <f t="shared" si="7"/>
        <v>26905.593666328386</v>
      </c>
      <c r="M36" s="66">
        <f t="shared" si="3"/>
        <v>258824.20870578982</v>
      </c>
      <c r="N36" s="66">
        <f t="shared" si="18"/>
        <v>277826.76980667625</v>
      </c>
      <c r="O36" s="66">
        <f t="shared" si="8"/>
        <v>246637.08531928287</v>
      </c>
      <c r="P36" s="36"/>
      <c r="Q36" s="66">
        <f t="shared" si="9"/>
        <v>13.580389191737364</v>
      </c>
      <c r="R36" s="66">
        <f t="shared" si="10"/>
        <v>13.474070400366983</v>
      </c>
      <c r="S36" s="66">
        <f t="shared" si="11"/>
        <v>13.128454816627267</v>
      </c>
      <c r="T36" s="66"/>
      <c r="U36" s="66">
        <f t="shared" si="12"/>
        <v>1.2222350272563627</v>
      </c>
      <c r="V36" s="66">
        <f t="shared" si="13"/>
        <v>1.2131106989264091</v>
      </c>
      <c r="W36" s="80">
        <f t="shared" si="14"/>
        <v>1.1815609334964536</v>
      </c>
      <c r="X36" s="67"/>
    </row>
    <row r="37" spans="1:25" ht="15.75" x14ac:dyDescent="0.25">
      <c r="A37" s="77">
        <v>2033</v>
      </c>
      <c r="B37" s="60">
        <f xml:space="preserve"> $B36 + Fig_historico_Kaya!P$39*$B36</f>
        <v>220.40855339174894</v>
      </c>
      <c r="C37" s="61">
        <f t="shared" si="15"/>
        <v>238.29035582921728</v>
      </c>
      <c r="D37" s="61">
        <f t="shared" si="16"/>
        <v>258.31082003163692</v>
      </c>
      <c r="E37" s="63"/>
      <c r="F37" s="62">
        <f xml:space="preserve"> F36*Fig_historico_Kaya!$P$39 + F36</f>
        <v>4163.8614883425016</v>
      </c>
      <c r="G37" s="61">
        <f t="shared" si="5"/>
        <v>4540.8642672608275</v>
      </c>
      <c r="H37" s="61">
        <f t="shared" si="6"/>
        <v>4966.6957452118068</v>
      </c>
      <c r="I37" s="63"/>
      <c r="J37" s="64">
        <f t="shared" si="4"/>
        <v>24000.631293599909</v>
      </c>
      <c r="K37" s="61">
        <f t="shared" si="17"/>
        <v>25986.996291890384</v>
      </c>
      <c r="L37" s="65">
        <f t="shared" si="7"/>
        <v>28214.66954805913</v>
      </c>
      <c r="M37" s="66">
        <f t="shared" si="3"/>
        <v>266673.68103999895</v>
      </c>
      <c r="N37" s="66">
        <f t="shared" si="18"/>
        <v>288744.40324322646</v>
      </c>
      <c r="O37" s="66">
        <f t="shared" si="8"/>
        <v>258621.93114274804</v>
      </c>
      <c r="P37" s="36"/>
      <c r="Q37" s="66">
        <f t="shared" si="9"/>
        <v>13.450017455496685</v>
      </c>
      <c r="R37" s="66">
        <f t="shared" si="10"/>
        <v>13.325400839742437</v>
      </c>
      <c r="S37" s="66">
        <f t="shared" si="11"/>
        <v>12.941383524476086</v>
      </c>
      <c r="T37" s="66"/>
      <c r="U37" s="66">
        <f t="shared" si="12"/>
        <v>1.2105015709947016</v>
      </c>
      <c r="V37" s="66">
        <f t="shared" si="13"/>
        <v>1.1997798121250201</v>
      </c>
      <c r="W37" s="80">
        <f t="shared" si="14"/>
        <v>1.1647245172028473</v>
      </c>
      <c r="X37" s="67"/>
    </row>
    <row r="38" spans="1:25" ht="15.75" x14ac:dyDescent="0.25">
      <c r="A38" s="77">
        <v>2034</v>
      </c>
      <c r="B38" s="60">
        <f xml:space="preserve"> $B37 + Fig_historico_Kaya!P$39*$B37</f>
        <v>227.09297773799784</v>
      </c>
      <c r="C38" s="61">
        <f t="shared" si="15"/>
        <v>247.65434461337466</v>
      </c>
      <c r="D38" s="61">
        <f t="shared" si="16"/>
        <v>270.8787815004323</v>
      </c>
      <c r="E38" s="63"/>
      <c r="F38" s="62">
        <f xml:space="preserve"> F37*Fig_historico_Kaya!$P$39 + F37</f>
        <v>4290.1406942933481</v>
      </c>
      <c r="G38" s="61">
        <f t="shared" si="5"/>
        <v>4719.3045651110942</v>
      </c>
      <c r="H38" s="61">
        <f t="shared" si="6"/>
        <v>5208.3474141020488</v>
      </c>
      <c r="I38" s="63"/>
      <c r="J38" s="64">
        <f t="shared" si="4"/>
        <v>24728.508690713155</v>
      </c>
      <c r="K38" s="61">
        <f t="shared" si="17"/>
        <v>27008.195580314812</v>
      </c>
      <c r="L38" s="65">
        <f t="shared" si="7"/>
        <v>29587.437749140958</v>
      </c>
      <c r="M38" s="66">
        <f t="shared" si="3"/>
        <v>274761.20767459058</v>
      </c>
      <c r="N38" s="66">
        <f t="shared" si="18"/>
        <v>300091.06200349791</v>
      </c>
      <c r="O38" s="66">
        <f t="shared" si="8"/>
        <v>271189.89261154342</v>
      </c>
      <c r="P38" s="36"/>
      <c r="Q38" s="66">
        <f t="shared" si="9"/>
        <v>13.320897287923916</v>
      </c>
      <c r="R38" s="66">
        <f t="shared" si="10"/>
        <v>13.176731279117892</v>
      </c>
      <c r="S38" s="66">
        <f t="shared" si="11"/>
        <v>12.754312232324905</v>
      </c>
      <c r="T38" s="66"/>
      <c r="U38" s="66">
        <f t="shared" si="12"/>
        <v>1.1988807559131525</v>
      </c>
      <c r="V38" s="66">
        <f t="shared" si="13"/>
        <v>1.186448925323631</v>
      </c>
      <c r="W38" s="80">
        <f t="shared" si="14"/>
        <v>1.147888100909241</v>
      </c>
      <c r="X38" s="67"/>
    </row>
    <row r="39" spans="1:25" ht="15.75" x14ac:dyDescent="0.25">
      <c r="A39" s="77">
        <v>2035</v>
      </c>
      <c r="B39" s="60">
        <f xml:space="preserve"> $B38 + Fig_historico_Kaya!P$39*$B38</f>
        <v>233.980123476648</v>
      </c>
      <c r="C39" s="61">
        <f t="shared" si="15"/>
        <v>257.38630584712911</v>
      </c>
      <c r="D39" s="61">
        <f t="shared" si="16"/>
        <v>284.05822976432898</v>
      </c>
      <c r="E39" s="63"/>
      <c r="F39" s="62">
        <f xml:space="preserve"> F38*Fig_historico_Kaya!$P$39 + F38</f>
        <v>4420.2496236632423</v>
      </c>
      <c r="G39" s="61">
        <f t="shared" si="5"/>
        <v>4904.7569509743107</v>
      </c>
      <c r="H39" s="61">
        <f t="shared" si="6"/>
        <v>5461.7565032316397</v>
      </c>
      <c r="I39" s="63"/>
      <c r="J39" s="64">
        <f t="shared" si="4"/>
        <v>25478.460736561563</v>
      </c>
      <c r="K39" s="61">
        <f t="shared" si="17"/>
        <v>28069.524477215931</v>
      </c>
      <c r="L39" s="65">
        <f t="shared" si="7"/>
        <v>31026.997182021245</v>
      </c>
      <c r="M39" s="66">
        <f t="shared" si="3"/>
        <v>283094.00818401738</v>
      </c>
      <c r="N39" s="66">
        <f t="shared" si="18"/>
        <v>311883.60530239926</v>
      </c>
      <c r="O39" s="66">
        <f t="shared" si="8"/>
        <v>284369.3408754401</v>
      </c>
      <c r="P39" s="36"/>
      <c r="Q39" s="66">
        <f t="shared" si="9"/>
        <v>13.193016673959846</v>
      </c>
      <c r="R39" s="66">
        <f t="shared" si="10"/>
        <v>13.028061718493346</v>
      </c>
      <c r="S39" s="66">
        <f t="shared" si="11"/>
        <v>12.567240940173724</v>
      </c>
      <c r="T39" s="66"/>
      <c r="U39" s="66">
        <f t="shared" si="12"/>
        <v>1.1873715006563861</v>
      </c>
      <c r="V39" s="66">
        <f t="shared" si="13"/>
        <v>1.1731180385222419</v>
      </c>
      <c r="W39" s="80">
        <f t="shared" si="14"/>
        <v>1.1310516846156347</v>
      </c>
      <c r="X39" s="67"/>
    </row>
    <row r="40" spans="1:25" ht="15.75" x14ac:dyDescent="0.25">
      <c r="A40" s="77">
        <v>2036</v>
      </c>
      <c r="B40" s="60">
        <f xml:space="preserve"> $B39 + Fig_historico_Kaya!P$39*$B39</f>
        <v>241.07613862595926</v>
      </c>
      <c r="C40" s="61">
        <f t="shared" si="15"/>
        <v>267.50069957809262</v>
      </c>
      <c r="D40" s="61">
        <f t="shared" si="16"/>
        <v>297.87891635475165</v>
      </c>
      <c r="E40" s="63"/>
      <c r="F40" s="62">
        <f xml:space="preserve"> F39*Fig_historico_Kaya!$P$39 + F39</f>
        <v>4554.30442211018</v>
      </c>
      <c r="G40" s="61">
        <f t="shared" si="5"/>
        <v>5097.4969757147819</v>
      </c>
      <c r="H40" s="61">
        <f t="shared" si="6"/>
        <v>5727.4950629874829</v>
      </c>
      <c r="I40" s="63"/>
      <c r="J40" s="64">
        <f t="shared" si="4"/>
        <v>26251.156898446516</v>
      </c>
      <c r="K40" s="61">
        <f t="shared" si="17"/>
        <v>29172.559937743117</v>
      </c>
      <c r="L40" s="65">
        <f t="shared" si="7"/>
        <v>32536.597534915134</v>
      </c>
      <c r="M40" s="66">
        <f t="shared" si="3"/>
        <v>291679.52109385014</v>
      </c>
      <c r="N40" s="66">
        <f t="shared" si="18"/>
        <v>324139.5548638124</v>
      </c>
      <c r="O40" s="66">
        <f t="shared" si="8"/>
        <v>298190.0274658628</v>
      </c>
      <c r="P40" s="36"/>
      <c r="Q40" s="66">
        <f t="shared" si="9"/>
        <v>13.066363713889832</v>
      </c>
      <c r="R40" s="66">
        <f t="shared" si="10"/>
        <v>12.8793921578688</v>
      </c>
      <c r="S40" s="66">
        <f t="shared" si="11"/>
        <v>12.380169648022543</v>
      </c>
      <c r="T40" s="81"/>
      <c r="U40" s="66">
        <f t="shared" si="12"/>
        <v>1.1759727342500848</v>
      </c>
      <c r="V40" s="66">
        <f t="shared" si="13"/>
        <v>1.1597871517208529</v>
      </c>
      <c r="W40" s="80">
        <f t="shared" si="14"/>
        <v>1.1142152683220283</v>
      </c>
      <c r="X40" s="67"/>
      <c r="Y40" s="8"/>
    </row>
    <row r="41" spans="1:25" ht="15.75" x14ac:dyDescent="0.25">
      <c r="A41" s="77">
        <v>2037</v>
      </c>
      <c r="B41" s="60">
        <f xml:space="preserve"> $B40 + Fig_historico_Kaya!P$39*$B40</f>
        <v>248.3873576577673</v>
      </c>
      <c r="C41" s="61">
        <f t="shared" si="15"/>
        <v>278.01255408385686</v>
      </c>
      <c r="D41" s="61">
        <f t="shared" si="16"/>
        <v>312.37204034643935</v>
      </c>
      <c r="E41" s="63"/>
      <c r="F41" s="62">
        <f xml:space="preserve"> F40*Fig_historico_Kaya!$P$39 + F40</f>
        <v>4692.4247576911403</v>
      </c>
      <c r="G41" s="61">
        <f t="shared" si="5"/>
        <v>5297.8110183950475</v>
      </c>
      <c r="H41" s="61">
        <f t="shared" si="6"/>
        <v>6006.1629765325924</v>
      </c>
      <c r="I41" s="63"/>
      <c r="J41" s="64">
        <f t="shared" si="4"/>
        <v>27047.286946890195</v>
      </c>
      <c r="K41" s="61">
        <f t="shared" si="17"/>
        <v>30318.940885942167</v>
      </c>
      <c r="L41" s="65">
        <f t="shared" si="7"/>
        <v>34119.646607712129</v>
      </c>
      <c r="M41" s="66">
        <f t="shared" si="3"/>
        <v>300525.4105210022</v>
      </c>
      <c r="N41" s="66">
        <f t="shared" si="18"/>
        <v>336877.12095491297</v>
      </c>
      <c r="O41" s="66">
        <f>C28*(1+0.9*Fig_historico_Kaya!P39)</f>
        <v>173.03985306055847</v>
      </c>
      <c r="P41" s="36"/>
      <c r="Q41" s="66">
        <f t="shared" si="9"/>
        <v>12.940926622236489</v>
      </c>
      <c r="R41" s="66">
        <f t="shared" si="10"/>
        <v>12.730722597244254</v>
      </c>
      <c r="S41" s="66">
        <f t="shared" si="11"/>
        <v>12.193098355871362</v>
      </c>
      <c r="T41" s="66"/>
      <c r="U41" s="66">
        <f t="shared" si="12"/>
        <v>1.1646833960012839</v>
      </c>
      <c r="V41" s="66">
        <f t="shared" si="13"/>
        <v>1.1464562649194638</v>
      </c>
      <c r="W41" s="80">
        <f t="shared" si="14"/>
        <v>1.097378852028422</v>
      </c>
      <c r="X41" s="67"/>
    </row>
    <row r="42" spans="1:25" ht="15.75" x14ac:dyDescent="0.25">
      <c r="A42" s="77">
        <v>2038</v>
      </c>
      <c r="B42" s="60">
        <f xml:space="preserve"> $B41 + Fig_historico_Kaya!P$39*$B41</f>
        <v>255.92030715214099</v>
      </c>
      <c r="C42" s="61">
        <f t="shared" si="15"/>
        <v>288.93748820146743</v>
      </c>
      <c r="D42" s="61">
        <f t="shared" si="16"/>
        <v>327.57031878681687</v>
      </c>
      <c r="E42" s="63"/>
      <c r="F42" s="62">
        <f xml:space="preserve"> F41*Fig_historico_Kaya!$P$39 + F41</f>
        <v>4834.7339276873799</v>
      </c>
      <c r="G42" s="61">
        <f t="shared" si="5"/>
        <v>5505.9967117866472</v>
      </c>
      <c r="H42" s="61">
        <f t="shared" si="6"/>
        <v>6298.3893139934944</v>
      </c>
      <c r="I42" s="63"/>
      <c r="J42" s="64">
        <f t="shared" si="4"/>
        <v>27867.561571380069</v>
      </c>
      <c r="K42" s="61">
        <f t="shared" si="17"/>
        <v>31510.370649918717</v>
      </c>
      <c r="L42" s="65">
        <f t="shared" si="7"/>
        <v>35779.718004807008</v>
      </c>
      <c r="M42" s="66">
        <f t="shared" si="3"/>
        <v>309639.57301533408</v>
      </c>
      <c r="N42" s="66">
        <f t="shared" si="18"/>
        <v>350115.22944354132</v>
      </c>
      <c r="O42" s="66">
        <f t="shared" si="8"/>
        <v>327881.42989792797</v>
      </c>
      <c r="P42" s="36"/>
      <c r="Q42" s="66">
        <f t="shared" si="9"/>
        <v>12.816693726663019</v>
      </c>
      <c r="R42" s="66">
        <f t="shared" si="10"/>
        <v>12.582053036619708</v>
      </c>
      <c r="S42" s="66">
        <f t="shared" si="11"/>
        <v>12.006027063720181</v>
      </c>
      <c r="T42" s="66"/>
      <c r="U42" s="66">
        <f t="shared" si="12"/>
        <v>1.1535024353996715</v>
      </c>
      <c r="V42" s="66">
        <f t="shared" si="13"/>
        <v>1.1331253781180748</v>
      </c>
      <c r="W42" s="80">
        <f t="shared" si="14"/>
        <v>1.0805424357348157</v>
      </c>
      <c r="X42" s="67"/>
    </row>
    <row r="43" spans="1:25" ht="15.75" x14ac:dyDescent="0.25">
      <c r="A43" s="77">
        <v>2039</v>
      </c>
      <c r="B43" s="60">
        <f xml:space="preserve"> $B42 + Fig_historico_Kaya!P$39*$B42</f>
        <v>263.68171162353076</v>
      </c>
      <c r="C43" s="61">
        <f t="shared" si="15"/>
        <v>300.29173453437511</v>
      </c>
      <c r="D43" s="61">
        <f t="shared" si="16"/>
        <v>343.50806055206516</v>
      </c>
      <c r="E43" s="63"/>
      <c r="F43" s="62">
        <f xml:space="preserve"> F42*Fig_historico_Kaya!$P$39 + F42</f>
        <v>4981.3589686694731</v>
      </c>
      <c r="G43" s="61">
        <f t="shared" si="5"/>
        <v>5722.3633846020994</v>
      </c>
      <c r="H43" s="61">
        <f t="shared" si="6"/>
        <v>6604.8337525348143</v>
      </c>
      <c r="I43" s="63"/>
      <c r="J43" s="64">
        <f t="shared" si="4"/>
        <v>28712.713014787245</v>
      </c>
      <c r="K43" s="61">
        <f t="shared" si="17"/>
        <v>32748.61949269586</v>
      </c>
      <c r="L43" s="65">
        <f t="shared" si="7"/>
        <v>37520.559202220684</v>
      </c>
      <c r="M43" s="66">
        <f t="shared" si="3"/>
        <v>319030.14460874716</v>
      </c>
      <c r="N43" s="66">
        <f t="shared" si="18"/>
        <v>363873.54991884291</v>
      </c>
      <c r="O43" s="66">
        <f t="shared" si="8"/>
        <v>343819.17166317627</v>
      </c>
      <c r="P43" s="36"/>
      <c r="Q43" s="66">
        <f t="shared" si="9"/>
        <v>12.693653466887053</v>
      </c>
      <c r="R43" s="66">
        <f t="shared" si="10"/>
        <v>12.433383475995162</v>
      </c>
      <c r="S43" s="66">
        <f t="shared" si="11"/>
        <v>11.818955771569</v>
      </c>
      <c r="T43" s="66"/>
      <c r="U43" s="66">
        <f t="shared" si="12"/>
        <v>1.1424288120198345</v>
      </c>
      <c r="V43" s="66">
        <f t="shared" si="13"/>
        <v>1.1197944913166857</v>
      </c>
      <c r="W43" s="80">
        <f t="shared" si="14"/>
        <v>1.0637060194412093</v>
      </c>
      <c r="X43" s="67"/>
    </row>
    <row r="44" spans="1:25" ht="15.75" x14ac:dyDescent="0.25">
      <c r="A44" s="77">
        <v>2040</v>
      </c>
      <c r="B44" s="60">
        <f xml:space="preserve"> $B43 + Fig_historico_Kaya!P$39*$B43</f>
        <v>271.6784995236091</v>
      </c>
      <c r="C44" s="61">
        <f t="shared" si="15"/>
        <v>312.09216357133687</v>
      </c>
      <c r="D44" s="61">
        <f t="shared" si="16"/>
        <v>360.22124379661614</v>
      </c>
      <c r="E44" s="63"/>
      <c r="F44" s="62">
        <f xml:space="preserve"> F43*Fig_historico_Kaya!$P$39 + F43</f>
        <v>5132.4307699003321</v>
      </c>
      <c r="G44" s="61">
        <f t="shared" si="5"/>
        <v>5947.2325211050074</v>
      </c>
      <c r="H44" s="61">
        <f t="shared" si="6"/>
        <v>6926.188065526776</v>
      </c>
      <c r="I44" s="63"/>
      <c r="J44" s="64">
        <f t="shared" si="4"/>
        <v>29583.495727025154</v>
      </c>
      <c r="K44" s="61">
        <f t="shared" si="17"/>
        <v>34035.527242525328</v>
      </c>
      <c r="L44" s="65">
        <f t="shared" si="7"/>
        <v>39346.10000722223</v>
      </c>
      <c r="M44" s="66">
        <f t="shared" si="3"/>
        <v>328705.50807805726</v>
      </c>
      <c r="N44" s="66">
        <f t="shared" si="18"/>
        <v>378172.52491694805</v>
      </c>
      <c r="O44" s="66">
        <f t="shared" si="8"/>
        <v>360532.35490772728</v>
      </c>
      <c r="P44" s="36"/>
      <c r="Q44" s="66">
        <f t="shared" si="9"/>
        <v>12.571794393604936</v>
      </c>
      <c r="R44" s="66">
        <f t="shared" si="10"/>
        <v>12.284713915370617</v>
      </c>
      <c r="S44" s="66">
        <f t="shared" si="11"/>
        <v>11.631884479417819</v>
      </c>
      <c r="T44" s="66"/>
      <c r="U44" s="66">
        <f t="shared" si="12"/>
        <v>1.131461495424444</v>
      </c>
      <c r="V44" s="66">
        <f t="shared" si="13"/>
        <v>1.1064636045152967</v>
      </c>
      <c r="W44" s="80">
        <f t="shared" si="14"/>
        <v>1.046869603147603</v>
      </c>
      <c r="X44" s="61"/>
    </row>
    <row r="45" spans="1:25" ht="15.75" x14ac:dyDescent="0.25">
      <c r="A45" s="77">
        <v>2041</v>
      </c>
      <c r="B45" s="60">
        <f xml:space="preserve"> $B44 + Fig_historico_Kaya!P$39*$B44</f>
        <v>279.91780942616191</v>
      </c>
      <c r="C45" s="61">
        <f t="shared" si="15"/>
        <v>324.35630875310801</v>
      </c>
      <c r="D45" s="61">
        <f t="shared" si="16"/>
        <v>377.74759717090751</v>
      </c>
      <c r="E45" s="63"/>
      <c r="F45" s="62">
        <f xml:space="preserve"> F44*Fig_historico_Kaya!$P$39 + F44</f>
        <v>5288.0841901774556</v>
      </c>
      <c r="G45" s="61">
        <f t="shared" si="5"/>
        <v>6180.9382387812875</v>
      </c>
      <c r="H45" s="61">
        <f t="shared" si="6"/>
        <v>7263.1776841672572</v>
      </c>
      <c r="I45" s="63"/>
      <c r="J45" s="64">
        <f t="shared" si="4"/>
        <v>30480.687038532029</v>
      </c>
      <c r="K45" s="61">
        <f t="shared" si="17"/>
        <v>35373.006026561008</v>
      </c>
      <c r="L45" s="65">
        <f t="shared" si="7"/>
        <v>41260.46142954893</v>
      </c>
      <c r="M45" s="66">
        <f t="shared" si="3"/>
        <v>338674.30042813363</v>
      </c>
      <c r="N45" s="66">
        <f t="shared" si="18"/>
        <v>393033.40029512229</v>
      </c>
      <c r="O45" s="66">
        <f t="shared" si="8"/>
        <v>378058.70828201866</v>
      </c>
      <c r="P45" s="36"/>
      <c r="Q45" s="66">
        <f t="shared" si="9"/>
        <v>12.451105167426327</v>
      </c>
      <c r="R45" s="66">
        <f t="shared" si="10"/>
        <v>12.136044354746071</v>
      </c>
      <c r="S45" s="66">
        <f t="shared" si="11"/>
        <v>11.444813187266638</v>
      </c>
      <c r="T45" s="66"/>
      <c r="U45" s="66">
        <f t="shared" si="12"/>
        <v>1.1205994650683693</v>
      </c>
      <c r="V45" s="66">
        <f t="shared" si="13"/>
        <v>1.0931327177139076</v>
      </c>
      <c r="W45" s="80">
        <f t="shared" si="14"/>
        <v>1.0300331868539967</v>
      </c>
      <c r="X45" s="61"/>
    </row>
    <row r="46" spans="1:25" ht="15.75" x14ac:dyDescent="0.25">
      <c r="A46" s="77">
        <v>2042</v>
      </c>
      <c r="B46" s="60">
        <f xml:space="preserve"> $B45 + Fig_historico_Kaya!P$39*$B45</f>
        <v>288.40699639955159</v>
      </c>
      <c r="C46" s="61">
        <f t="shared" si="15"/>
        <v>337.10239252416756</v>
      </c>
      <c r="D46" s="61">
        <f t="shared" si="16"/>
        <v>396.12668499073845</v>
      </c>
      <c r="E46" s="63"/>
      <c r="F46" s="62">
        <f xml:space="preserve"> F45*Fig_historico_Kaya!$P$39 + F45</f>
        <v>5448.4581782186988</v>
      </c>
      <c r="G46" s="61">
        <f t="shared" si="5"/>
        <v>6423.827784781206</v>
      </c>
      <c r="H46" s="61">
        <f t="shared" si="6"/>
        <v>7616.5633350836551</v>
      </c>
      <c r="I46" s="63"/>
      <c r="J46" s="64">
        <f t="shared" si="4"/>
        <v>31405.087854178342</v>
      </c>
      <c r="K46" s="61">
        <f t="shared" si="17"/>
        <v>36763.043111956285</v>
      </c>
      <c r="L46" s="65">
        <f t="shared" si="7"/>
        <v>43267.964984250124</v>
      </c>
      <c r="M46" s="66">
        <f t="shared" si="3"/>
        <v>348945.42060198158</v>
      </c>
      <c r="N46" s="66">
        <f t="shared" si="18"/>
        <v>408478.25679951429</v>
      </c>
      <c r="O46" s="66">
        <f t="shared" si="8"/>
        <v>396437.79610184958</v>
      </c>
      <c r="P46" s="36"/>
      <c r="Q46" s="66">
        <f t="shared" si="9"/>
        <v>12.331574557819033</v>
      </c>
      <c r="R46" s="66">
        <f t="shared" si="10"/>
        <v>11.987374794121525</v>
      </c>
      <c r="S46" s="66">
        <f t="shared" si="11"/>
        <v>11.257741895115457</v>
      </c>
      <c r="T46" s="66"/>
      <c r="U46" s="66">
        <f t="shared" si="12"/>
        <v>1.1098417102037128</v>
      </c>
      <c r="V46" s="66">
        <f t="shared" si="13"/>
        <v>1.0798018309125186</v>
      </c>
      <c r="W46" s="80">
        <f t="shared" si="14"/>
        <v>1.0131967705603904</v>
      </c>
      <c r="X46" s="61"/>
    </row>
    <row r="47" spans="1:25" ht="15.75" x14ac:dyDescent="0.25">
      <c r="A47" s="77">
        <v>2043</v>
      </c>
      <c r="B47" s="60">
        <f xml:space="preserve"> $B46 + Fig_historico_Kaya!P$39*$B46</f>
        <v>297.15363857244034</v>
      </c>
      <c r="C47" s="61">
        <f t="shared" si="15"/>
        <v>350.34935340818851</v>
      </c>
      <c r="D47" s="61">
        <f t="shared" si="16"/>
        <v>415.39999655049388</v>
      </c>
      <c r="E47" s="63"/>
      <c r="F47" s="62">
        <f xml:space="preserve"> F46*Fig_historico_Kaya!$P$39 + F46</f>
        <v>5613.6958966990351</v>
      </c>
      <c r="G47" s="61">
        <f t="shared" si="5"/>
        <v>6676.2620518698996</v>
      </c>
      <c r="H47" s="61">
        <f t="shared" si="6"/>
        <v>7987.1427576113483</v>
      </c>
      <c r="I47" s="63"/>
      <c r="J47" s="64">
        <f t="shared" si="4"/>
        <v>32357.52336821867</v>
      </c>
      <c r="K47" s="61">
        <f t="shared" si="17"/>
        <v>38207.703858606867</v>
      </c>
      <c r="L47" s="65">
        <f t="shared" si="7"/>
        <v>45373.142447155798</v>
      </c>
      <c r="M47" s="66">
        <f t="shared" si="3"/>
        <v>359528.03742465185</v>
      </c>
      <c r="N47" s="66">
        <f t="shared" si="18"/>
        <v>424530.04287340958</v>
      </c>
      <c r="O47" s="66">
        <f t="shared" si="8"/>
        <v>415711.107661605</v>
      </c>
      <c r="P47" s="36"/>
      <c r="Q47" s="66">
        <f t="shared" si="9"/>
        <v>12.21319144206397</v>
      </c>
      <c r="R47" s="66">
        <f t="shared" si="10"/>
        <v>11.838705233496979</v>
      </c>
      <c r="S47" s="66">
        <f t="shared" si="11"/>
        <v>11.070670602964276</v>
      </c>
      <c r="T47" s="66"/>
      <c r="U47" s="66">
        <f t="shared" si="12"/>
        <v>1.099187229785757</v>
      </c>
      <c r="V47" s="66">
        <f t="shared" si="13"/>
        <v>1.0664709441111295</v>
      </c>
      <c r="W47" s="80">
        <f t="shared" si="14"/>
        <v>0.99636035426678415</v>
      </c>
      <c r="X47" s="61"/>
    </row>
    <row r="48" spans="1:25" ht="15.75" x14ac:dyDescent="0.25">
      <c r="A48" s="77">
        <v>2044</v>
      </c>
      <c r="B48" s="60">
        <f xml:space="preserve"> $B47 + Fig_historico_Kaya!P$39*$B47</f>
        <v>306.16554389863546</v>
      </c>
      <c r="C48" s="61">
        <f t="shared" si="15"/>
        <v>364.11687414747649</v>
      </c>
      <c r="D48" s="61">
        <f t="shared" si="16"/>
        <v>435.61103978184184</v>
      </c>
      <c r="E48" s="63"/>
      <c r="F48" s="62">
        <f xml:space="preserve"> F47*Fig_historico_Kaya!$P$39 + F47</f>
        <v>5783.9448500490334</v>
      </c>
      <c r="G48" s="61">
        <f t="shared" si="5"/>
        <v>6938.6161146529139</v>
      </c>
      <c r="H48" s="61">
        <f t="shared" si="6"/>
        <v>8375.7525046251722</v>
      </c>
      <c r="I48" s="63"/>
      <c r="J48" s="64">
        <f t="shared" si="4"/>
        <v>33338.843800926225</v>
      </c>
      <c r="K48" s="61">
        <f t="shared" si="17"/>
        <v>39709.134787925796</v>
      </c>
      <c r="L48" s="65">
        <f t="shared" si="7"/>
        <v>47580.74608499094</v>
      </c>
      <c r="M48" s="66">
        <f t="shared" si="3"/>
        <v>370431.59778806916</v>
      </c>
      <c r="N48" s="66">
        <f t="shared" si="18"/>
        <v>441212.60875473113</v>
      </c>
      <c r="O48" s="66">
        <f t="shared" si="8"/>
        <v>435922.15089295298</v>
      </c>
      <c r="P48" s="36"/>
      <c r="Q48" s="66">
        <f t="shared" si="9"/>
        <v>12.095944804220155</v>
      </c>
      <c r="R48" s="66">
        <f t="shared" si="10"/>
        <v>11.690035672872433</v>
      </c>
      <c r="S48" s="66">
        <f t="shared" si="11"/>
        <v>10.883599310813095</v>
      </c>
      <c r="T48" s="66"/>
      <c r="U48" s="66">
        <f t="shared" si="12"/>
        <v>1.0886350323798137</v>
      </c>
      <c r="V48" s="66">
        <f t="shared" si="13"/>
        <v>1.0531400573097405</v>
      </c>
      <c r="W48" s="80">
        <f t="shared" si="14"/>
        <v>0.97952393797317794</v>
      </c>
      <c r="X48" s="61"/>
    </row>
    <row r="49" spans="1:37" ht="15.75" x14ac:dyDescent="0.25">
      <c r="A49" s="77">
        <v>2045</v>
      </c>
      <c r="B49" s="60">
        <f xml:space="preserve"> $B48 + Fig_historico_Kaya!P$39*$B48</f>
        <v>315.45075712709445</v>
      </c>
      <c r="C49" s="61">
        <f t="shared" si="15"/>
        <v>378.42541094819751</v>
      </c>
      <c r="D49" s="61">
        <f t="shared" si="16"/>
        <v>456.80543946935614</v>
      </c>
      <c r="E49" s="63"/>
      <c r="F49" s="62">
        <f xml:space="preserve"> F48*Fig_historico_Kaya!$P$39 + F48</f>
        <v>5959.3570161291364</v>
      </c>
      <c r="G49" s="61">
        <f t="shared" si="5"/>
        <v>7211.2797868736525</v>
      </c>
      <c r="H49" s="61">
        <f t="shared" si="6"/>
        <v>8783.2698309896005</v>
      </c>
      <c r="I49" s="63"/>
      <c r="J49" s="64">
        <f t="shared" si="4"/>
        <v>34349.925157567639</v>
      </c>
      <c r="K49" s="61">
        <f t="shared" si="17"/>
        <v>41269.56677221143</v>
      </c>
      <c r="L49" s="65">
        <f t="shared" si="7"/>
        <v>49895.759383231656</v>
      </c>
      <c r="M49" s="66">
        <f t="shared" si="3"/>
        <v>381665.83508408483</v>
      </c>
      <c r="N49" s="66">
        <f t="shared" si="18"/>
        <v>458550.74191346031</v>
      </c>
      <c r="O49" s="66">
        <f t="shared" si="8"/>
        <v>457116.55058046727</v>
      </c>
      <c r="P49" s="36"/>
      <c r="Q49" s="66">
        <f t="shared" si="9"/>
        <v>11.979823734099641</v>
      </c>
      <c r="R49" s="66">
        <f t="shared" si="10"/>
        <v>11.541366112247887</v>
      </c>
      <c r="S49" s="66">
        <f t="shared" si="11"/>
        <v>10.696528018661914</v>
      </c>
      <c r="T49" s="66"/>
      <c r="U49" s="66">
        <f t="shared" si="12"/>
        <v>1.0781841360689675</v>
      </c>
      <c r="V49" s="66">
        <f t="shared" si="13"/>
        <v>1.0398091705083514</v>
      </c>
      <c r="W49" s="80">
        <f t="shared" si="14"/>
        <v>0.96268752167957172</v>
      </c>
      <c r="X49" s="61"/>
    </row>
    <row r="50" spans="1:37" ht="15.75" x14ac:dyDescent="0.25">
      <c r="A50" s="77">
        <v>2046</v>
      </c>
      <c r="B50" s="60">
        <f xml:space="preserve"> $B49 + Fig_historico_Kaya!P$39*$B49</f>
        <v>325.01756698331275</v>
      </c>
      <c r="C50" s="61">
        <f t="shared" si="15"/>
        <v>393.2962238748388</v>
      </c>
      <c r="D50" s="61">
        <f t="shared" si="16"/>
        <v>479.03104024474715</v>
      </c>
      <c r="E50" s="63"/>
      <c r="F50" s="62">
        <f xml:space="preserve"> F49*Fig_historico_Kaya!$P$39 + F49</f>
        <v>6140.0889818972764</v>
      </c>
      <c r="G50" s="61">
        <f t="shared" si="5"/>
        <v>7494.6582006106382</v>
      </c>
      <c r="H50" s="61">
        <f t="shared" si="6"/>
        <v>9210.6146738900679</v>
      </c>
      <c r="I50" s="63"/>
      <c r="J50" s="64">
        <f t="shared" si="4"/>
        <v>35391.670010395428</v>
      </c>
      <c r="K50" s="61">
        <f t="shared" si="17"/>
        <v>42891.318349346133</v>
      </c>
      <c r="L50" s="65">
        <f t="shared" si="7"/>
        <v>52323.40829591731</v>
      </c>
      <c r="M50" s="66">
        <f t="shared" si="3"/>
        <v>393240.77789328253</v>
      </c>
      <c r="N50" s="66">
        <f t="shared" si="18"/>
        <v>476570.20388162369</v>
      </c>
      <c r="O50" s="66">
        <f t="shared" si="8"/>
        <v>479342.15135585825</v>
      </c>
      <c r="P50" s="36"/>
      <c r="Q50" s="66">
        <f t="shared" si="9"/>
        <v>11.864817426252284</v>
      </c>
      <c r="R50" s="66">
        <f t="shared" si="10"/>
        <v>11.392696551623342</v>
      </c>
      <c r="S50" s="66">
        <f t="shared" si="11"/>
        <v>10.509456726510733</v>
      </c>
      <c r="T50" s="66"/>
      <c r="U50" s="66">
        <f t="shared" si="12"/>
        <v>1.0678335683627054</v>
      </c>
      <c r="V50" s="66">
        <f t="shared" si="13"/>
        <v>1.0264782837069624</v>
      </c>
      <c r="W50" s="80">
        <f t="shared" si="14"/>
        <v>0.94585110538596551</v>
      </c>
      <c r="X50" s="61"/>
    </row>
    <row r="51" spans="1:37" ht="15.75" x14ac:dyDescent="0.25">
      <c r="A51" s="77">
        <v>2047</v>
      </c>
      <c r="B51" s="60">
        <f xml:space="preserve"> $B50 + Fig_historico_Kaya!P$39*$B50</f>
        <v>334.87451356850443</v>
      </c>
      <c r="C51" s="61">
        <f t="shared" si="15"/>
        <v>408.75140843906399</v>
      </c>
      <c r="D51" s="61">
        <f t="shared" si="16"/>
        <v>502.33801459222354</v>
      </c>
      <c r="E51" s="63"/>
      <c r="F51" s="62">
        <f xml:space="preserve"> F50*Fig_historico_Kaya!$P$39 + F50</f>
        <v>6326.3020831909453</v>
      </c>
      <c r="G51" s="61">
        <f t="shared" si="5"/>
        <v>7789.1724082351775</v>
      </c>
      <c r="H51" s="61">
        <f t="shared" si="6"/>
        <v>9658.7517295162852</v>
      </c>
      <c r="I51" s="63"/>
      <c r="J51" s="64">
        <f t="shared" si="4"/>
        <v>36465.008304356343</v>
      </c>
      <c r="K51" s="61">
        <f t="shared" si="17"/>
        <v>44576.799167750942</v>
      </c>
      <c r="L51" s="65">
        <f t="shared" si="7"/>
        <v>54869.173042816401</v>
      </c>
      <c r="M51" s="66">
        <f t="shared" si="3"/>
        <v>405166.75893729273</v>
      </c>
      <c r="N51" s="66">
        <f t="shared" si="18"/>
        <v>495297.76853056595</v>
      </c>
      <c r="O51" s="66">
        <f t="shared" si="8"/>
        <v>502649.12570333469</v>
      </c>
      <c r="P51" s="36"/>
      <c r="Q51" s="66">
        <f t="shared" si="9"/>
        <v>11.750915178960261</v>
      </c>
      <c r="R51" s="66">
        <f t="shared" si="10"/>
        <v>11.244026990998796</v>
      </c>
      <c r="S51" s="66">
        <f t="shared" si="11"/>
        <v>10.322385434359552</v>
      </c>
      <c r="T51" s="66"/>
      <c r="U51" s="66">
        <f t="shared" si="12"/>
        <v>1.0575823661064234</v>
      </c>
      <c r="V51" s="66">
        <f t="shared" si="13"/>
        <v>1.0131473969055733</v>
      </c>
      <c r="W51" s="80">
        <f t="shared" si="14"/>
        <v>0.92901468909235929</v>
      </c>
      <c r="X51" s="61"/>
    </row>
    <row r="52" spans="1:37" ht="15.75" x14ac:dyDescent="0.25">
      <c r="A52" s="77">
        <v>2048</v>
      </c>
      <c r="B52" s="60">
        <f xml:space="preserve"> $B51 + Fig_historico_Kaya!P$39*$B51</f>
        <v>345.03039598318099</v>
      </c>
      <c r="C52" s="61">
        <f t="shared" si="15"/>
        <v>424.81392842990709</v>
      </c>
      <c r="D52" s="61">
        <f t="shared" si="16"/>
        <v>526.77897610879108</v>
      </c>
      <c r="E52" s="63"/>
      <c r="F52" s="62">
        <f xml:space="preserve"> F51*Fig_historico_Kaya!$P$39 + F51</f>
        <v>6518.1625487484935</v>
      </c>
      <c r="G52" s="61">
        <f t="shared" si="5"/>
        <v>8095.260008023969</v>
      </c>
      <c r="H52" s="61">
        <f t="shared" si="6"/>
        <v>10128.692630785363</v>
      </c>
      <c r="I52" s="63"/>
      <c r="J52" s="64">
        <f t="shared" si="4"/>
        <v>37570.898187234787</v>
      </c>
      <c r="K52" s="61">
        <f t="shared" si="17"/>
        <v>46328.513566715606</v>
      </c>
      <c r="L52" s="65">
        <f t="shared" si="7"/>
        <v>57538.800480576567</v>
      </c>
      <c r="M52" s="66">
        <f t="shared" si="3"/>
        <v>417454.42430260871</v>
      </c>
      <c r="N52" s="66">
        <f t="shared" si="18"/>
        <v>514761.2618523956</v>
      </c>
      <c r="O52" s="66">
        <f t="shared" si="8"/>
        <v>527090.0872199022</v>
      </c>
      <c r="P52" s="36"/>
      <c r="Q52" s="66">
        <f t="shared" si="9"/>
        <v>11.638106393242241</v>
      </c>
      <c r="R52" s="66">
        <f t="shared" si="10"/>
        <v>11.09535743037425</v>
      </c>
      <c r="S52" s="66">
        <f t="shared" si="11"/>
        <v>10.135314142208371</v>
      </c>
      <c r="T52" s="66"/>
      <c r="U52" s="66">
        <f t="shared" si="12"/>
        <v>1.0474295753918017</v>
      </c>
      <c r="V52" s="66">
        <f t="shared" si="13"/>
        <v>0.99981651010418426</v>
      </c>
      <c r="W52" s="80">
        <f t="shared" si="14"/>
        <v>0.91217827279875308</v>
      </c>
      <c r="X52" s="61"/>
    </row>
    <row r="53" spans="1:37" ht="15.75" x14ac:dyDescent="0.25">
      <c r="A53" s="77">
        <v>2049</v>
      </c>
      <c r="B53" s="60">
        <f xml:space="preserve"> $B52 + Fig_historico_Kaya!P$39*$B52</f>
        <v>355.49428018193373</v>
      </c>
      <c r="C53" s="61">
        <f t="shared" si="15"/>
        <v>441.50765003407685</v>
      </c>
      <c r="D53" s="61">
        <f t="shared" si="16"/>
        <v>552.40909827516384</v>
      </c>
      <c r="E53" s="63"/>
      <c r="F53" s="62">
        <f xml:space="preserve"> F52*Fig_historico_Kaya!$P$39 + F52</f>
        <v>6715.8416485982243</v>
      </c>
      <c r="G53" s="61">
        <f t="shared" si="5"/>
        <v>8413.3757943560995</v>
      </c>
      <c r="H53" s="61">
        <f t="shared" si="6"/>
        <v>10621.498231020736</v>
      </c>
      <c r="I53" s="63"/>
      <c r="J53" s="64">
        <f t="shared" si="4"/>
        <v>38710.32686497226</v>
      </c>
      <c r="K53" s="61">
        <f t="shared" si="17"/>
        <v>48149.064297423014</v>
      </c>
      <c r="L53" s="65">
        <f t="shared" si="7"/>
        <v>60338.317075785475</v>
      </c>
      <c r="M53" s="66">
        <f t="shared" si="3"/>
        <v>430114.7429441362</v>
      </c>
      <c r="N53" s="66">
        <f t="shared" si="18"/>
        <v>534989.60330470011</v>
      </c>
      <c r="O53" s="66">
        <f t="shared" si="8"/>
        <v>552720.20938627492</v>
      </c>
      <c r="P53" s="36"/>
      <c r="Q53" s="66">
        <f t="shared" si="9"/>
        <v>11.526380571867115</v>
      </c>
      <c r="R53" s="66">
        <f t="shared" si="10"/>
        <v>10.946687869749704</v>
      </c>
      <c r="S53" s="66">
        <f t="shared" si="11"/>
        <v>9.9482428500571896</v>
      </c>
      <c r="T53" s="66"/>
      <c r="U53" s="66">
        <f t="shared" si="12"/>
        <v>1.0373742514680404</v>
      </c>
      <c r="V53" s="66">
        <f t="shared" si="13"/>
        <v>0.98648562330279521</v>
      </c>
      <c r="W53" s="80">
        <f t="shared" si="14"/>
        <v>0.89534185650514686</v>
      </c>
      <c r="X53" s="61"/>
    </row>
    <row r="54" spans="1:37" ht="15.75" x14ac:dyDescent="0.25">
      <c r="A54" s="77">
        <v>2050</v>
      </c>
      <c r="B54" s="60">
        <f xml:space="preserve"> $B53 + Fig_historico_Kaya!P$39*$B53</f>
        <v>366.27550706643132</v>
      </c>
      <c r="C54" s="61">
        <f t="shared" si="15"/>
        <v>458.85737729707114</v>
      </c>
      <c r="D54" s="61">
        <f t="shared" si="16"/>
        <v>579.28623900540504</v>
      </c>
      <c r="E54" s="63"/>
      <c r="F54" s="62">
        <f xml:space="preserve"> F53*Fig_historico_Kaya!$P$39 + F53</f>
        <v>6919.5158469477465</v>
      </c>
      <c r="G54" s="61">
        <f t="shared" si="5"/>
        <v>8743.9924334605166</v>
      </c>
      <c r="H54" s="61">
        <f t="shared" si="6"/>
        <v>11138.28099874219</v>
      </c>
      <c r="I54" s="63"/>
      <c r="J54" s="64">
        <f t="shared" si="4"/>
        <v>39884.311482926569</v>
      </c>
      <c r="K54" s="61">
        <f t="shared" si="17"/>
        <v>50041.15639019692</v>
      </c>
      <c r="L54" s="65">
        <f xml:space="preserve"> (((D54*10^3)*90)/10^3)+H54</f>
        <v>63274.042509228631</v>
      </c>
      <c r="M54" s="66">
        <f t="shared" si="3"/>
        <v>443159.01647696184</v>
      </c>
      <c r="N54" s="66">
        <f t="shared" si="18"/>
        <v>556012.84877996577</v>
      </c>
      <c r="O54" s="66">
        <f t="shared" si="8"/>
        <v>579597.35011651611</v>
      </c>
      <c r="P54" s="36"/>
      <c r="Q54" s="66">
        <f t="shared" si="9"/>
        <v>11.41572731837719</v>
      </c>
      <c r="R54" s="66">
        <f xml:space="preserve"> R27*(1-0.271)</f>
        <v>10.798018309125176</v>
      </c>
      <c r="S54" s="66">
        <f xml:space="preserve"> S27*(1-0.341)</f>
        <v>9.7611715579060245</v>
      </c>
      <c r="T54" s="66"/>
      <c r="U54" s="66">
        <f t="shared" si="12"/>
        <v>1.0274154586539472</v>
      </c>
      <c r="V54" s="66">
        <f xml:space="preserve"> V27*(1-0.27)</f>
        <v>0.97315473650140472</v>
      </c>
      <c r="W54" s="80">
        <f xml:space="preserve"> W27*(1-0.341)</f>
        <v>0.87850544021154209</v>
      </c>
      <c r="X54" s="61"/>
    </row>
    <row r="55" spans="1:37" x14ac:dyDescent="0.25">
      <c r="B55" s="3"/>
      <c r="C55" s="3"/>
      <c r="D55" s="3"/>
      <c r="E55" s="63"/>
      <c r="F55" s="3"/>
      <c r="G55" s="3"/>
      <c r="H55" s="3"/>
      <c r="I55" s="63"/>
      <c r="J55" s="3"/>
      <c r="K55" s="3"/>
      <c r="L55" s="3"/>
      <c r="M55" s="3"/>
      <c r="N55" s="3"/>
      <c r="P55" s="36"/>
      <c r="Q55" s="6"/>
      <c r="R55" s="6"/>
      <c r="S55" s="6"/>
      <c r="T55" s="6"/>
      <c r="U55" s="3"/>
      <c r="V55" s="3"/>
      <c r="W55" s="46"/>
    </row>
    <row r="56" spans="1:37" ht="210" x14ac:dyDescent="0.25">
      <c r="A56" s="68" t="s">
        <v>7</v>
      </c>
      <c r="B56" s="69" t="s">
        <v>71</v>
      </c>
      <c r="C56" s="4" t="s">
        <v>100</v>
      </c>
      <c r="D56" s="4" t="s">
        <v>82</v>
      </c>
      <c r="E56" s="70"/>
      <c r="F56" s="69" t="s">
        <v>72</v>
      </c>
      <c r="G56" s="4" t="s">
        <v>100</v>
      </c>
      <c r="H56" s="4" t="s">
        <v>82</v>
      </c>
      <c r="I56" s="70"/>
      <c r="J56" s="71"/>
      <c r="K56" s="71"/>
      <c r="L56" s="71"/>
      <c r="M56" s="72"/>
      <c r="N56" s="71"/>
      <c r="O56" s="71"/>
      <c r="P56" s="73"/>
      <c r="Q56" s="69" t="s">
        <v>83</v>
      </c>
      <c r="R56" s="69" t="s">
        <v>85</v>
      </c>
      <c r="S56" s="74" t="s">
        <v>87</v>
      </c>
    </row>
    <row r="57" spans="1:37" x14ac:dyDescent="0.25">
      <c r="A57" s="32" t="s">
        <v>76</v>
      </c>
      <c r="B57">
        <v>1</v>
      </c>
      <c r="C57">
        <v>1.29</v>
      </c>
      <c r="D57">
        <v>1.59</v>
      </c>
    </row>
    <row r="58" spans="1:37" x14ac:dyDescent="0.25">
      <c r="A58" s="10"/>
      <c r="B58" s="26"/>
      <c r="J58" s="6">
        <f>(J55*10^6)/10^12</f>
        <v>0</v>
      </c>
      <c r="K58" s="6">
        <f t="shared" ref="K58:L58" si="19">(K55*10^6)/10^12</f>
        <v>0</v>
      </c>
      <c r="L58" s="6">
        <f t="shared" si="19"/>
        <v>0</v>
      </c>
      <c r="M58" s="6">
        <f>(M55*10^6)/10^12</f>
        <v>0</v>
      </c>
      <c r="N58" s="6">
        <f t="shared" ref="N58:O58" si="20">(N55*10^6)/10^12</f>
        <v>0</v>
      </c>
      <c r="O58" s="6">
        <f t="shared" si="20"/>
        <v>0</v>
      </c>
      <c r="AI58" s="3"/>
      <c r="AJ58" s="3"/>
      <c r="AK58" s="3"/>
    </row>
    <row r="59" spans="1:37" x14ac:dyDescent="0.25">
      <c r="A59" s="10"/>
      <c r="B59" s="26"/>
      <c r="J59" s="6"/>
      <c r="K59" s="6"/>
      <c r="L59" s="6"/>
      <c r="M59" s="6">
        <f>M55/10^6</f>
        <v>0</v>
      </c>
      <c r="N59" s="6">
        <f t="shared" ref="N59:O59" si="21">N55/10^6</f>
        <v>0</v>
      </c>
      <c r="O59" s="6">
        <f t="shared" si="21"/>
        <v>0</v>
      </c>
      <c r="R59" t="s">
        <v>86</v>
      </c>
    </row>
    <row r="60" spans="1:37" x14ac:dyDescent="0.25">
      <c r="A60" s="10"/>
      <c r="B60" s="26"/>
    </row>
    <row r="61" spans="1:37" x14ac:dyDescent="0.25">
      <c r="A61" s="10"/>
      <c r="B61" s="26"/>
      <c r="M61" s="3"/>
      <c r="O61" s="6"/>
      <c r="P61" s="6"/>
      <c r="Q61" s="6"/>
      <c r="R61" s="6"/>
      <c r="S61" s="6"/>
      <c r="T61" s="3"/>
      <c r="U61" s="3"/>
      <c r="V61" s="3"/>
    </row>
    <row r="62" spans="1:37" x14ac:dyDescent="0.25">
      <c r="A62" s="10"/>
      <c r="B62" s="26"/>
      <c r="C62" s="3"/>
      <c r="D62" s="3"/>
      <c r="E62" s="6"/>
      <c r="F62" s="3"/>
      <c r="G62" s="3">
        <f xml:space="preserve"> (((B23*10^3)*90)/10^3)</f>
        <v>15159.80469033</v>
      </c>
      <c r="H62" s="3"/>
      <c r="I62" s="3"/>
      <c r="J62" s="3"/>
      <c r="K62" s="3"/>
      <c r="L62" s="3"/>
      <c r="M62" s="3"/>
      <c r="N62" s="3"/>
      <c r="P62" s="6"/>
      <c r="Q62" s="6"/>
      <c r="R62" s="6"/>
      <c r="S62" s="6"/>
      <c r="T62" s="6"/>
      <c r="U62" s="3"/>
      <c r="V62" s="3"/>
      <c r="W62" s="46"/>
    </row>
    <row r="63" spans="1:37" x14ac:dyDescent="0.25">
      <c r="B63" s="3"/>
      <c r="C63" s="3"/>
      <c r="D63" s="3"/>
      <c r="E63" s="6"/>
      <c r="F63" s="3"/>
      <c r="G63" s="3"/>
      <c r="H63" s="3"/>
      <c r="I63" s="3"/>
      <c r="J63" s="3"/>
      <c r="K63" s="3"/>
      <c r="L63" s="3"/>
      <c r="M63" s="3"/>
      <c r="N63" s="3"/>
      <c r="P63" s="6"/>
      <c r="Q63" s="6"/>
      <c r="R63" s="6"/>
      <c r="S63" s="6"/>
      <c r="T63" s="6"/>
      <c r="U63" s="3"/>
      <c r="V63" s="3"/>
      <c r="W63" s="46"/>
    </row>
    <row r="64" spans="1:37" x14ac:dyDescent="0.25">
      <c r="M64" s="3"/>
      <c r="N64" s="3"/>
      <c r="P64" s="6"/>
      <c r="Q64" s="6"/>
      <c r="R64" s="6"/>
      <c r="S64" s="6"/>
      <c r="T64" s="6"/>
      <c r="U64" s="3"/>
      <c r="V64" s="3"/>
      <c r="W64" s="46"/>
    </row>
    <row r="65" spans="1:23" x14ac:dyDescent="0.25">
      <c r="M65" s="3"/>
      <c r="N65" s="3"/>
      <c r="P65" s="6"/>
      <c r="Q65" s="6"/>
      <c r="R65" s="6"/>
      <c r="S65" s="6"/>
      <c r="T65" s="6"/>
      <c r="U65" s="3"/>
      <c r="V65" s="3"/>
      <c r="W65" s="46"/>
    </row>
    <row r="71" spans="1:23" x14ac:dyDescent="0.25">
      <c r="A71" t="s">
        <v>20</v>
      </c>
    </row>
    <row r="72" spans="1:23" x14ac:dyDescent="0.25">
      <c r="B72">
        <v>0.77743872633051014</v>
      </c>
    </row>
    <row r="73" spans="1:23" x14ac:dyDescent="0.25">
      <c r="B73">
        <v>0.2225612736694898</v>
      </c>
    </row>
    <row r="76" spans="1:23" x14ac:dyDescent="0.25">
      <c r="B76">
        <v>0.65219805966422129</v>
      </c>
    </row>
    <row r="77" spans="1:23" x14ac:dyDescent="0.25">
      <c r="B77">
        <v>0.18494693909707469</v>
      </c>
    </row>
    <row r="79" spans="1:23" x14ac:dyDescent="0.25">
      <c r="B79">
        <v>0.29280064679371848</v>
      </c>
    </row>
    <row r="93" spans="1:23" x14ac:dyDescent="0.25">
      <c r="B93" s="1" t="s">
        <v>77</v>
      </c>
      <c r="C93" t="s">
        <v>79</v>
      </c>
      <c r="D93" t="s">
        <v>80</v>
      </c>
      <c r="S93" s="47"/>
      <c r="W93"/>
    </row>
    <row r="94" spans="1:23" ht="15.75" x14ac:dyDescent="0.25">
      <c r="A94" s="76">
        <v>2023</v>
      </c>
      <c r="B94" s="2">
        <v>20584.419166157877</v>
      </c>
      <c r="C94" s="89">
        <f xml:space="preserve"> B95-B94</f>
        <v>624.32543330956833</v>
      </c>
      <c r="D94" s="89">
        <f>C94/B94</f>
        <v>3.0329999999999996E-2</v>
      </c>
      <c r="S94" s="47"/>
      <c r="W94"/>
    </row>
    <row r="95" spans="1:23" ht="15.75" x14ac:dyDescent="0.25">
      <c r="A95" s="77">
        <v>2024</v>
      </c>
      <c r="B95">
        <f xml:space="preserve"> B94*0.03033 + B94</f>
        <v>21208.744599467445</v>
      </c>
      <c r="C95" s="89">
        <f t="shared" ref="C95:C121" si="22" xml:space="preserve"> B96-B95</f>
        <v>643.26122370184748</v>
      </c>
      <c r="D95" s="89">
        <f t="shared" ref="D95:D121" si="23">C95/B95</f>
        <v>3.0329999999999992E-2</v>
      </c>
      <c r="S95" s="47"/>
      <c r="W95"/>
    </row>
    <row r="96" spans="1:23" ht="15.75" x14ac:dyDescent="0.25">
      <c r="A96" s="77">
        <v>2025</v>
      </c>
      <c r="B96">
        <f t="shared" ref="B96:B121" si="24" xml:space="preserve"> B95*0.03033 + B95</f>
        <v>21852.005823169293</v>
      </c>
      <c r="C96" s="89">
        <f t="shared" si="22"/>
        <v>662.77133661672633</v>
      </c>
      <c r="D96" s="89">
        <f t="shared" si="23"/>
        <v>3.0330000000000076E-2</v>
      </c>
      <c r="S96" s="47"/>
      <c r="W96"/>
    </row>
    <row r="97" spans="1:23" ht="15.75" x14ac:dyDescent="0.25">
      <c r="A97" s="77">
        <v>2026</v>
      </c>
      <c r="B97">
        <f t="shared" si="24"/>
        <v>22514.777159786019</v>
      </c>
      <c r="C97" s="89">
        <f t="shared" si="22"/>
        <v>682.87319125630893</v>
      </c>
      <c r="D97" s="89">
        <f t="shared" si="23"/>
        <v>3.0329999999999954E-2</v>
      </c>
      <c r="S97" s="47"/>
      <c r="W97"/>
    </row>
    <row r="98" spans="1:23" ht="15.75" x14ac:dyDescent="0.25">
      <c r="A98" s="77">
        <v>2027</v>
      </c>
      <c r="B98">
        <f t="shared" si="24"/>
        <v>23197.650351042328</v>
      </c>
      <c r="C98" s="89">
        <f t="shared" si="22"/>
        <v>703.58473514711295</v>
      </c>
      <c r="D98" s="89">
        <f t="shared" si="23"/>
        <v>3.0329999999999965E-2</v>
      </c>
      <c r="S98" s="47"/>
      <c r="W98"/>
    </row>
    <row r="99" spans="1:23" ht="15.75" x14ac:dyDescent="0.25">
      <c r="A99" s="77">
        <v>2028</v>
      </c>
      <c r="B99">
        <f t="shared" si="24"/>
        <v>23901.235086189441</v>
      </c>
      <c r="C99" s="89">
        <f t="shared" si="22"/>
        <v>724.92446016412578</v>
      </c>
      <c r="D99" s="89">
        <f t="shared" si="23"/>
        <v>3.0330000000000003E-2</v>
      </c>
      <c r="S99" s="47"/>
      <c r="W99"/>
    </row>
    <row r="100" spans="1:23" ht="15.75" x14ac:dyDescent="0.25">
      <c r="A100" s="77">
        <v>2029</v>
      </c>
      <c r="B100">
        <f t="shared" si="24"/>
        <v>24626.159546353567</v>
      </c>
      <c r="C100" s="89">
        <f t="shared" si="22"/>
        <v>746.91141904090546</v>
      </c>
      <c r="D100" s="89">
        <f t="shared" si="23"/>
        <v>3.0330000000000072E-2</v>
      </c>
      <c r="S100" s="47"/>
      <c r="W100"/>
    </row>
    <row r="101" spans="1:23" ht="15.75" x14ac:dyDescent="0.25">
      <c r="A101" s="77">
        <v>2030</v>
      </c>
      <c r="B101">
        <f t="shared" si="24"/>
        <v>25373.070965394472</v>
      </c>
      <c r="C101" s="89">
        <f t="shared" si="22"/>
        <v>769.56524238041311</v>
      </c>
      <c r="D101" s="89">
        <f t="shared" si="23"/>
        <v>3.0329999999999951E-2</v>
      </c>
      <c r="S101" s="47"/>
      <c r="W101"/>
    </row>
    <row r="102" spans="1:23" ht="15.75" x14ac:dyDescent="0.25">
      <c r="A102" s="77">
        <v>2031</v>
      </c>
      <c r="B102">
        <f t="shared" si="24"/>
        <v>26142.636207774885</v>
      </c>
      <c r="C102" s="89">
        <f t="shared" si="22"/>
        <v>792.90615618181255</v>
      </c>
      <c r="D102" s="89">
        <f t="shared" si="23"/>
        <v>3.033000000000001E-2</v>
      </c>
      <c r="S102" s="47"/>
      <c r="W102"/>
    </row>
    <row r="103" spans="1:23" ht="15.75" x14ac:dyDescent="0.25">
      <c r="A103" s="77">
        <v>2032</v>
      </c>
      <c r="B103">
        <f t="shared" si="24"/>
        <v>26935.542363956698</v>
      </c>
      <c r="C103" s="89">
        <f t="shared" si="22"/>
        <v>816.95499989880773</v>
      </c>
      <c r="D103" s="89">
        <f t="shared" si="23"/>
        <v>3.0330000000000041E-2</v>
      </c>
      <c r="S103" s="47"/>
      <c r="W103"/>
    </row>
    <row r="104" spans="1:23" ht="15.75" x14ac:dyDescent="0.25">
      <c r="A104" s="77">
        <v>2033</v>
      </c>
      <c r="B104">
        <f t="shared" si="24"/>
        <v>27752.497363855506</v>
      </c>
      <c r="C104" s="89">
        <f t="shared" si="22"/>
        <v>841.73324504573611</v>
      </c>
      <c r="D104" s="89">
        <f t="shared" si="23"/>
        <v>3.0329999999999951E-2</v>
      </c>
      <c r="S104" s="47"/>
      <c r="W104"/>
    </row>
    <row r="105" spans="1:23" ht="15.75" x14ac:dyDescent="0.25">
      <c r="A105" s="77">
        <v>2034</v>
      </c>
      <c r="B105">
        <f t="shared" si="24"/>
        <v>28594.230608901242</v>
      </c>
      <c r="C105" s="89">
        <f t="shared" si="22"/>
        <v>867.26301436797439</v>
      </c>
      <c r="D105" s="89">
        <f t="shared" si="23"/>
        <v>3.0329999999999989E-2</v>
      </c>
      <c r="S105" s="47"/>
      <c r="W105"/>
    </row>
    <row r="106" spans="1:23" ht="15.75" x14ac:dyDescent="0.25">
      <c r="A106" s="77">
        <v>2035</v>
      </c>
      <c r="B106">
        <f t="shared" si="24"/>
        <v>29461.493623269216</v>
      </c>
      <c r="C106" s="89">
        <f t="shared" si="22"/>
        <v>893.56710159375507</v>
      </c>
      <c r="D106" s="89">
        <f t="shared" si="23"/>
        <v>3.0329999999999992E-2</v>
      </c>
      <c r="S106" s="47"/>
      <c r="W106"/>
    </row>
    <row r="107" spans="1:23" ht="15.75" x14ac:dyDescent="0.25">
      <c r="A107" s="77">
        <v>2036</v>
      </c>
      <c r="B107">
        <f t="shared" si="24"/>
        <v>30355.060724862971</v>
      </c>
      <c r="C107" s="89">
        <f t="shared" si="22"/>
        <v>920.66899178509266</v>
      </c>
      <c r="D107" s="89">
        <f t="shared" si="23"/>
        <v>3.0329999999999958E-2</v>
      </c>
      <c r="S107" s="47"/>
      <c r="W107"/>
    </row>
    <row r="108" spans="1:23" ht="15.75" x14ac:dyDescent="0.25">
      <c r="A108" s="77">
        <v>2037</v>
      </c>
      <c r="B108">
        <f t="shared" si="24"/>
        <v>31275.729716648064</v>
      </c>
      <c r="C108" s="89">
        <f t="shared" si="22"/>
        <v>948.59288230593666</v>
      </c>
      <c r="D108" s="89">
        <f t="shared" si="23"/>
        <v>3.0330000000000027E-2</v>
      </c>
      <c r="S108" s="47"/>
      <c r="W108"/>
    </row>
    <row r="109" spans="1:23" ht="15.75" x14ac:dyDescent="0.25">
      <c r="A109" s="77">
        <v>2038</v>
      </c>
      <c r="B109">
        <f t="shared" si="24"/>
        <v>32224.322598954001</v>
      </c>
      <c r="C109" s="89">
        <f t="shared" si="22"/>
        <v>977.36370442627231</v>
      </c>
      <c r="D109" s="89">
        <f t="shared" si="23"/>
        <v>3.0329999999999923E-2</v>
      </c>
      <c r="S109" s="47"/>
      <c r="W109"/>
    </row>
    <row r="110" spans="1:23" ht="15.75" x14ac:dyDescent="0.25">
      <c r="A110" s="77">
        <v>2039</v>
      </c>
      <c r="B110">
        <f t="shared" si="24"/>
        <v>33201.686303380273</v>
      </c>
      <c r="C110" s="89">
        <f t="shared" si="22"/>
        <v>1007.0071455815269</v>
      </c>
      <c r="D110" s="89">
        <f t="shared" si="23"/>
        <v>3.0330000000000096E-2</v>
      </c>
      <c r="S110" s="47"/>
      <c r="W110"/>
    </row>
    <row r="111" spans="1:23" ht="15.75" x14ac:dyDescent="0.25">
      <c r="A111" s="77">
        <v>2040</v>
      </c>
      <c r="B111">
        <f t="shared" si="24"/>
        <v>34208.6934489618</v>
      </c>
      <c r="C111" s="89">
        <f t="shared" si="22"/>
        <v>1037.54967230701</v>
      </c>
      <c r="D111" s="89">
        <f t="shared" si="23"/>
        <v>3.0329999999999961E-2</v>
      </c>
      <c r="S111" s="47"/>
      <c r="W111"/>
    </row>
    <row r="112" spans="1:23" ht="15.75" x14ac:dyDescent="0.25">
      <c r="A112" s="77">
        <v>2041</v>
      </c>
      <c r="B112">
        <f t="shared" si="24"/>
        <v>35246.24312126881</v>
      </c>
      <c r="C112" s="89">
        <f t="shared" si="22"/>
        <v>1069.0185538680817</v>
      </c>
      <c r="D112" s="89">
        <f t="shared" si="23"/>
        <v>3.0329999999999961E-2</v>
      </c>
      <c r="S112" s="47"/>
      <c r="W112"/>
    </row>
    <row r="113" spans="1:23" ht="15.75" x14ac:dyDescent="0.25">
      <c r="A113" s="77">
        <v>2042</v>
      </c>
      <c r="B113">
        <f t="shared" si="24"/>
        <v>36315.261675136891</v>
      </c>
      <c r="C113" s="89">
        <f t="shared" si="22"/>
        <v>1101.4418866069027</v>
      </c>
      <c r="D113" s="89">
        <f t="shared" si="23"/>
        <v>3.033000000000002E-2</v>
      </c>
      <c r="S113" s="47"/>
      <c r="W113"/>
    </row>
    <row r="114" spans="1:23" ht="15.75" x14ac:dyDescent="0.25">
      <c r="A114" s="77">
        <v>2043</v>
      </c>
      <c r="B114">
        <f t="shared" si="24"/>
        <v>37416.703561743794</v>
      </c>
      <c r="C114" s="89">
        <f t="shared" si="22"/>
        <v>1134.848619027689</v>
      </c>
      <c r="D114" s="89">
        <f t="shared" si="23"/>
        <v>3.0329999999999992E-2</v>
      </c>
      <c r="S114" s="47"/>
      <c r="W114"/>
    </row>
    <row r="115" spans="1:23" ht="15.75" x14ac:dyDescent="0.25">
      <c r="A115" s="77">
        <v>2044</v>
      </c>
      <c r="B115">
        <f t="shared" si="24"/>
        <v>38551.552180771483</v>
      </c>
      <c r="C115" s="89">
        <f t="shared" si="22"/>
        <v>1169.268577642797</v>
      </c>
      <c r="D115" s="89">
        <f t="shared" si="23"/>
        <v>3.0329999999999947E-2</v>
      </c>
      <c r="S115" s="47"/>
      <c r="W115"/>
    </row>
    <row r="116" spans="1:23" ht="15.75" x14ac:dyDescent="0.25">
      <c r="A116" s="77">
        <v>2045</v>
      </c>
      <c r="B116">
        <f t="shared" si="24"/>
        <v>39720.82075841428</v>
      </c>
      <c r="C116" s="89">
        <f t="shared" si="22"/>
        <v>1204.7324936027071</v>
      </c>
      <c r="D116" s="89">
        <f t="shared" si="23"/>
        <v>3.0330000000000051E-2</v>
      </c>
      <c r="S116" s="47"/>
      <c r="W116"/>
    </row>
    <row r="117" spans="1:23" ht="15.75" x14ac:dyDescent="0.25">
      <c r="A117" s="77">
        <v>2046</v>
      </c>
      <c r="B117">
        <f t="shared" si="24"/>
        <v>40925.553252016987</v>
      </c>
      <c r="C117" s="89">
        <f t="shared" si="22"/>
        <v>1241.272030133674</v>
      </c>
      <c r="D117" s="89">
        <f t="shared" si="23"/>
        <v>3.0329999999999968E-2</v>
      </c>
      <c r="S117" s="47"/>
      <c r="W117"/>
    </row>
    <row r="118" spans="1:23" ht="15.75" x14ac:dyDescent="0.25">
      <c r="A118" s="77">
        <v>2047</v>
      </c>
      <c r="B118">
        <f t="shared" si="24"/>
        <v>42166.825282150661</v>
      </c>
      <c r="C118" s="89">
        <f t="shared" si="22"/>
        <v>1278.9198108076307</v>
      </c>
      <c r="D118" s="89">
        <f t="shared" si="23"/>
        <v>3.0330000000000027E-2</v>
      </c>
      <c r="S118" s="47"/>
      <c r="W118"/>
    </row>
    <row r="119" spans="1:23" ht="15.75" x14ac:dyDescent="0.25">
      <c r="A119" s="77">
        <v>2048</v>
      </c>
      <c r="B119">
        <f t="shared" si="24"/>
        <v>43445.745092958292</v>
      </c>
      <c r="C119" s="89">
        <f t="shared" si="22"/>
        <v>1317.7094486694259</v>
      </c>
      <c r="D119" s="89">
        <f t="shared" si="23"/>
        <v>3.033000000000002E-2</v>
      </c>
      <c r="S119" s="47"/>
      <c r="W119"/>
    </row>
    <row r="120" spans="1:23" ht="15.75" x14ac:dyDescent="0.25">
      <c r="A120" s="77">
        <v>2049</v>
      </c>
      <c r="B120">
        <f t="shared" si="24"/>
        <v>44763.454541627718</v>
      </c>
      <c r="C120" s="89">
        <f t="shared" si="22"/>
        <v>1357.6755762475659</v>
      </c>
      <c r="D120" s="89">
        <f t="shared" si="23"/>
        <v>3.0329999999999937E-2</v>
      </c>
      <c r="S120" s="47"/>
      <c r="W120"/>
    </row>
    <row r="121" spans="1:23" ht="15.75" x14ac:dyDescent="0.25">
      <c r="A121" s="77">
        <v>2050</v>
      </c>
      <c r="B121">
        <f t="shared" si="24"/>
        <v>46121.130117875284</v>
      </c>
      <c r="C121" s="89">
        <f t="shared" si="22"/>
        <v>-46121.130117875284</v>
      </c>
      <c r="D121" s="89">
        <f t="shared" si="23"/>
        <v>-1</v>
      </c>
      <c r="S121" s="47"/>
      <c r="W121"/>
    </row>
  </sheetData>
  <mergeCells count="11">
    <mergeCell ref="A1:A3"/>
    <mergeCell ref="Q2:S2"/>
    <mergeCell ref="U2:W2"/>
    <mergeCell ref="Q1:W1"/>
    <mergeCell ref="B2:D2"/>
    <mergeCell ref="B1:D1"/>
    <mergeCell ref="M2:O2"/>
    <mergeCell ref="F1:H1"/>
    <mergeCell ref="F2:H2"/>
    <mergeCell ref="J1:O1"/>
    <mergeCell ref="J2:L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AD798-A272-4A95-89D5-4E5CCE35DF18}">
  <dimension ref="A1:AJ114"/>
  <sheetViews>
    <sheetView tabSelected="1" zoomScaleNormal="100" workbookViewId="0">
      <pane xSplit="1" topLeftCell="P1" activePane="topRight" state="frozen"/>
      <selection pane="topRight" activeCell="AB30" sqref="AB30"/>
    </sheetView>
  </sheetViews>
  <sheetFormatPr defaultRowHeight="15" x14ac:dyDescent="0.25"/>
  <cols>
    <col min="1" max="1" width="12.42578125" customWidth="1"/>
    <col min="2" max="2" width="10" customWidth="1"/>
    <col min="3" max="3" width="15.85546875" customWidth="1"/>
    <col min="4" max="4" width="14.28515625" customWidth="1"/>
    <col min="5" max="5" width="8.7109375" customWidth="1"/>
    <col min="6" max="6" width="10.85546875" customWidth="1"/>
    <col min="7" max="7" width="14.85546875" customWidth="1"/>
    <col min="8" max="8" width="13.28515625" customWidth="1"/>
    <col min="9" max="9" width="9.5703125" customWidth="1"/>
    <col min="10" max="10" width="11" customWidth="1"/>
    <col min="11" max="11" width="15.7109375" customWidth="1"/>
    <col min="12" max="12" width="13.28515625" customWidth="1"/>
    <col min="13" max="13" width="8" customWidth="1"/>
    <col min="14" max="14" width="10.28515625" customWidth="1"/>
    <col min="15" max="15" width="13.42578125" customWidth="1"/>
    <col min="16" max="16" width="16.28515625" customWidth="1"/>
    <col min="18" max="18" width="11" customWidth="1"/>
    <col min="19" max="19" width="15.28515625" customWidth="1"/>
    <col min="20" max="20" width="13.5703125" customWidth="1"/>
    <col min="22" max="22" width="10.42578125" customWidth="1"/>
    <col min="23" max="23" width="12.7109375" customWidth="1"/>
    <col min="24" max="24" width="13.42578125" customWidth="1"/>
    <col min="26" max="26" width="11.28515625" customWidth="1"/>
    <col min="27" max="27" width="13.28515625" customWidth="1"/>
    <col min="28" max="28" width="12.85546875" customWidth="1"/>
    <col min="30" max="30" width="11.42578125" customWidth="1"/>
    <col min="31" max="31" width="13.42578125" customWidth="1"/>
    <col min="32" max="32" width="13" customWidth="1"/>
    <col min="34" max="34" width="11.42578125" customWidth="1"/>
    <col min="35" max="35" width="13.85546875" customWidth="1"/>
    <col min="36" max="36" width="13.5703125" customWidth="1"/>
  </cols>
  <sheetData>
    <row r="1" spans="1:36" ht="21" x14ac:dyDescent="0.35">
      <c r="A1" s="117" t="s">
        <v>99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85"/>
      <c r="N1" s="117" t="s">
        <v>99</v>
      </c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85"/>
      <c r="Z1" s="117" t="s">
        <v>99</v>
      </c>
      <c r="AA1" s="117"/>
      <c r="AB1" s="117"/>
      <c r="AC1" s="117"/>
      <c r="AD1" s="117"/>
      <c r="AE1" s="117"/>
      <c r="AF1" s="117"/>
      <c r="AG1" s="117"/>
      <c r="AH1" s="117"/>
      <c r="AI1" s="117"/>
      <c r="AJ1" s="117"/>
    </row>
    <row r="2" spans="1:36" ht="18.75" x14ac:dyDescent="0.25">
      <c r="A2" s="116" t="s">
        <v>28</v>
      </c>
      <c r="B2" s="118" t="s">
        <v>84</v>
      </c>
      <c r="C2" s="118"/>
      <c r="D2" s="118"/>
      <c r="E2" s="85"/>
      <c r="F2" s="118" t="s">
        <v>93</v>
      </c>
      <c r="G2" s="118"/>
      <c r="H2" s="118"/>
      <c r="I2" s="85"/>
      <c r="J2" s="118" t="s">
        <v>94</v>
      </c>
      <c r="K2" s="118"/>
      <c r="L2" s="118"/>
      <c r="M2" s="85"/>
      <c r="N2" s="120" t="s">
        <v>97</v>
      </c>
      <c r="O2" s="120"/>
      <c r="P2" s="120"/>
      <c r="Q2" s="85"/>
      <c r="R2" s="120" t="s">
        <v>88</v>
      </c>
      <c r="S2" s="120"/>
      <c r="T2" s="120"/>
      <c r="U2" s="85"/>
      <c r="V2" s="120" t="s">
        <v>98</v>
      </c>
      <c r="W2" s="120"/>
      <c r="X2" s="120"/>
      <c r="Y2" s="85"/>
      <c r="Z2" s="119" t="s">
        <v>96</v>
      </c>
      <c r="AA2" s="119"/>
      <c r="AB2" s="119"/>
      <c r="AC2" s="85"/>
      <c r="AD2" s="119" t="s">
        <v>95</v>
      </c>
      <c r="AE2" s="119"/>
      <c r="AF2" s="119"/>
      <c r="AG2" s="85"/>
      <c r="AH2" s="119" t="s">
        <v>89</v>
      </c>
      <c r="AI2" s="119"/>
      <c r="AJ2" s="119"/>
    </row>
    <row r="3" spans="1:36" ht="55.5" customHeight="1" x14ac:dyDescent="0.25">
      <c r="A3" s="116"/>
      <c r="B3" s="90" t="s">
        <v>92</v>
      </c>
      <c r="C3" s="90" t="s">
        <v>91</v>
      </c>
      <c r="D3" s="90" t="s">
        <v>90</v>
      </c>
      <c r="E3" s="86"/>
      <c r="F3" s="90" t="s">
        <v>92</v>
      </c>
      <c r="G3" s="90" t="s">
        <v>91</v>
      </c>
      <c r="H3" s="90" t="s">
        <v>90</v>
      </c>
      <c r="I3" s="85"/>
      <c r="J3" s="90" t="s">
        <v>92</v>
      </c>
      <c r="K3" s="90" t="s">
        <v>91</v>
      </c>
      <c r="L3" s="90" t="s">
        <v>90</v>
      </c>
      <c r="M3" s="85"/>
      <c r="N3" s="90" t="s">
        <v>92</v>
      </c>
      <c r="O3" s="90" t="s">
        <v>91</v>
      </c>
      <c r="P3" s="90" t="s">
        <v>90</v>
      </c>
      <c r="Q3" s="86"/>
      <c r="R3" s="90" t="s">
        <v>92</v>
      </c>
      <c r="S3" s="90" t="s">
        <v>91</v>
      </c>
      <c r="T3" s="90" t="s">
        <v>90</v>
      </c>
      <c r="U3" s="86"/>
      <c r="V3" s="90" t="s">
        <v>92</v>
      </c>
      <c r="W3" s="90" t="s">
        <v>91</v>
      </c>
      <c r="X3" s="90" t="s">
        <v>90</v>
      </c>
      <c r="Y3" s="85"/>
      <c r="Z3" s="90" t="s">
        <v>92</v>
      </c>
      <c r="AA3" s="90" t="s">
        <v>91</v>
      </c>
      <c r="AB3" s="90" t="s">
        <v>90</v>
      </c>
      <c r="AC3" s="85"/>
      <c r="AD3" s="90" t="s">
        <v>92</v>
      </c>
      <c r="AE3" s="90" t="s">
        <v>91</v>
      </c>
      <c r="AF3" s="90" t="s">
        <v>90</v>
      </c>
      <c r="AG3" s="86"/>
      <c r="AH3" s="90" t="s">
        <v>92</v>
      </c>
      <c r="AI3" s="90" t="s">
        <v>91</v>
      </c>
      <c r="AJ3" s="99" t="s">
        <v>90</v>
      </c>
    </row>
    <row r="4" spans="1:36" ht="15.75" x14ac:dyDescent="0.25">
      <c r="A4" s="75">
        <v>2000</v>
      </c>
      <c r="B4">
        <f xml:space="preserve"> Fig_futuro_Kaya!J4*10^6</f>
        <v>6758481739.9920015</v>
      </c>
      <c r="C4" s="52">
        <f xml:space="preserve"> Fig_historico_Kaya!K14</f>
        <v>26.646484732562602</v>
      </c>
      <c r="D4">
        <f t="shared" ref="D4:D28" si="0" xml:space="preserve"> B4*C4</f>
        <v>180089780500</v>
      </c>
      <c r="E4" s="86"/>
      <c r="F4" s="90">
        <v>6758481739.9920015</v>
      </c>
      <c r="G4" s="90">
        <v>26.646484732562602</v>
      </c>
      <c r="H4" s="90">
        <v>180089780500</v>
      </c>
      <c r="I4" s="85"/>
      <c r="J4" s="90">
        <v>6758481739.9920015</v>
      </c>
      <c r="K4" s="90">
        <v>26.646484732562602</v>
      </c>
      <c r="L4" s="90">
        <v>180089780500</v>
      </c>
      <c r="M4" s="85"/>
      <c r="N4" s="90">
        <v>6758481739.9920015</v>
      </c>
      <c r="O4">
        <v>26.646484732562602</v>
      </c>
      <c r="P4">
        <v>180089780500</v>
      </c>
      <c r="Q4" s="86"/>
      <c r="R4" s="90">
        <v>6758481739.9920015</v>
      </c>
      <c r="S4" s="90">
        <v>26.646484732562602</v>
      </c>
      <c r="T4">
        <v>180089780500</v>
      </c>
      <c r="U4" s="86"/>
      <c r="V4">
        <v>6758481739.9920015</v>
      </c>
      <c r="W4">
        <v>26.646484732562602</v>
      </c>
      <c r="X4">
        <v>180089780500</v>
      </c>
      <c r="Y4" s="85"/>
      <c r="Z4">
        <v>6758481739.9920015</v>
      </c>
      <c r="AA4">
        <v>26.646484732562602</v>
      </c>
      <c r="AB4">
        <v>180089780500</v>
      </c>
      <c r="AC4" s="85"/>
      <c r="AD4">
        <v>6758481739.9920015</v>
      </c>
      <c r="AE4">
        <v>26.646484732562602</v>
      </c>
      <c r="AF4">
        <v>180089780500</v>
      </c>
      <c r="AG4" s="86"/>
      <c r="AH4">
        <v>6758481739.9920015</v>
      </c>
      <c r="AI4">
        <v>26.646484732562602</v>
      </c>
      <c r="AJ4" s="47">
        <v>180089780500</v>
      </c>
    </row>
    <row r="5" spans="1:36" ht="15.75" x14ac:dyDescent="0.25">
      <c r="A5" s="75">
        <v>2001</v>
      </c>
      <c r="B5">
        <f xml:space="preserve"> Fig_futuro_Kaya!J5*10^6</f>
        <v>6530863952.4310007</v>
      </c>
      <c r="C5" s="52">
        <f xml:space="preserve"> Fig_historico_Kaya!K15</f>
        <v>27.765892816141285</v>
      </c>
      <c r="D5">
        <f t="shared" si="0"/>
        <v>181335268500</v>
      </c>
      <c r="E5" s="86"/>
      <c r="F5" s="90">
        <v>6530863952.4310007</v>
      </c>
      <c r="G5" s="90">
        <v>27.765892816141285</v>
      </c>
      <c r="H5" s="90">
        <v>181335268500</v>
      </c>
      <c r="I5" s="85"/>
      <c r="J5" s="90">
        <v>6530863952.4310007</v>
      </c>
      <c r="K5" s="90">
        <v>27.765892816141285</v>
      </c>
      <c r="L5" s="90">
        <v>181335268500</v>
      </c>
      <c r="M5" s="85"/>
      <c r="N5" s="90">
        <v>6530863952.4310007</v>
      </c>
      <c r="O5">
        <v>27.765892816141285</v>
      </c>
      <c r="P5">
        <v>181335268500</v>
      </c>
      <c r="Q5" s="86"/>
      <c r="R5" s="90">
        <v>6530863952.4310007</v>
      </c>
      <c r="S5" s="90">
        <v>27.765892816141285</v>
      </c>
      <c r="T5">
        <v>181335268500</v>
      </c>
      <c r="U5" s="86"/>
      <c r="V5">
        <v>6530863952.4310007</v>
      </c>
      <c r="W5">
        <v>27.765892816141285</v>
      </c>
      <c r="X5">
        <v>181335268500</v>
      </c>
      <c r="Y5" s="85"/>
      <c r="Z5">
        <v>6530863952.4310007</v>
      </c>
      <c r="AA5">
        <v>27.765892816141285</v>
      </c>
      <c r="AB5">
        <v>181335268500</v>
      </c>
      <c r="AC5" s="85"/>
      <c r="AD5">
        <v>6530863952.4310007</v>
      </c>
      <c r="AE5">
        <v>27.765892816141285</v>
      </c>
      <c r="AF5">
        <v>181335268500</v>
      </c>
      <c r="AG5" s="86"/>
      <c r="AH5">
        <v>6530863952.4310007</v>
      </c>
      <c r="AI5">
        <v>27.765892816141285</v>
      </c>
      <c r="AJ5" s="47">
        <v>181335268500</v>
      </c>
    </row>
    <row r="6" spans="1:36" ht="15.75" customHeight="1" x14ac:dyDescent="0.25">
      <c r="A6" s="75">
        <v>2002</v>
      </c>
      <c r="B6">
        <f xml:space="preserve"> Fig_futuro_Kaya!J6*10^6</f>
        <v>6612586678.9659996</v>
      </c>
      <c r="C6" s="52">
        <f xml:space="preserve"> Fig_historico_Kaya!K16</f>
        <v>27.45217337981051</v>
      </c>
      <c r="D6">
        <f t="shared" si="0"/>
        <v>181529876000</v>
      </c>
      <c r="E6" s="86"/>
      <c r="F6" s="90">
        <v>6612586678.9659996</v>
      </c>
      <c r="G6" s="90">
        <v>27.45217337981051</v>
      </c>
      <c r="H6" s="90">
        <v>181529876000</v>
      </c>
      <c r="I6" s="85"/>
      <c r="J6" s="90">
        <v>6612586678.9659996</v>
      </c>
      <c r="K6" s="90">
        <v>27.45217337981051</v>
      </c>
      <c r="L6" s="90">
        <v>181529876000</v>
      </c>
      <c r="M6" s="85"/>
      <c r="N6" s="90">
        <v>6612586678.9659996</v>
      </c>
      <c r="O6">
        <v>27.45217337981051</v>
      </c>
      <c r="P6">
        <v>181529876000</v>
      </c>
      <c r="Q6" s="86"/>
      <c r="R6" s="90">
        <v>6612586678.9659996</v>
      </c>
      <c r="S6" s="90">
        <v>27.45217337981051</v>
      </c>
      <c r="T6">
        <v>181529876000</v>
      </c>
      <c r="U6" s="86"/>
      <c r="V6">
        <v>6612586678.9659996</v>
      </c>
      <c r="W6">
        <v>27.45217337981051</v>
      </c>
      <c r="X6">
        <v>181529876000</v>
      </c>
      <c r="Y6" s="85"/>
      <c r="Z6">
        <v>6612586678.9659996</v>
      </c>
      <c r="AA6">
        <v>27.45217337981051</v>
      </c>
      <c r="AB6">
        <v>181529876000</v>
      </c>
      <c r="AC6" s="85"/>
      <c r="AD6">
        <v>6612586678.9659996</v>
      </c>
      <c r="AE6">
        <v>27.45217337981051</v>
      </c>
      <c r="AF6">
        <v>181529876000</v>
      </c>
      <c r="AG6" s="86"/>
      <c r="AH6">
        <v>6612586678.9659996</v>
      </c>
      <c r="AI6">
        <v>27.45217337981051</v>
      </c>
      <c r="AJ6" s="47">
        <v>181529876000</v>
      </c>
    </row>
    <row r="7" spans="1:36" ht="15.75" customHeight="1" x14ac:dyDescent="0.25">
      <c r="A7" s="75">
        <v>2003</v>
      </c>
      <c r="B7">
        <f xml:space="preserve"> Fig_futuro_Kaya!J7*10^6</f>
        <v>6522791840.7060003</v>
      </c>
      <c r="C7" s="52">
        <f xml:space="preserve"> Fig_historico_Kaya!K17</f>
        <v>24.058944671613862</v>
      </c>
      <c r="D7">
        <f t="shared" si="0"/>
        <v>156931488000</v>
      </c>
      <c r="E7" s="86"/>
      <c r="F7" s="90">
        <v>6522791840.7060003</v>
      </c>
      <c r="G7" s="90">
        <v>24.058944671613862</v>
      </c>
      <c r="H7" s="90">
        <v>156931488000</v>
      </c>
      <c r="I7" s="85"/>
      <c r="J7" s="90">
        <v>6522791840.7060003</v>
      </c>
      <c r="K7" s="90">
        <v>24.058944671613862</v>
      </c>
      <c r="L7" s="90">
        <v>156931488000</v>
      </c>
      <c r="M7" s="85"/>
      <c r="N7" s="90">
        <v>6522791840.7060003</v>
      </c>
      <c r="O7">
        <v>24.058944671613862</v>
      </c>
      <c r="P7">
        <v>156931488000</v>
      </c>
      <c r="Q7" s="86"/>
      <c r="R7" s="90">
        <v>6522791840.7060003</v>
      </c>
      <c r="S7" s="90">
        <v>24.058944671613862</v>
      </c>
      <c r="T7">
        <v>156931488000</v>
      </c>
      <c r="U7" s="86"/>
      <c r="V7">
        <v>6522791840.7060003</v>
      </c>
      <c r="W7">
        <v>24.058944671613862</v>
      </c>
      <c r="X7">
        <v>156931488000</v>
      </c>
      <c r="Y7" s="85"/>
      <c r="Z7">
        <v>6522791840.7060003</v>
      </c>
      <c r="AA7">
        <v>24.058944671613862</v>
      </c>
      <c r="AB7">
        <v>156931488000</v>
      </c>
      <c r="AC7" s="85"/>
      <c r="AD7">
        <v>6522791840.7060003</v>
      </c>
      <c r="AE7">
        <v>24.058944671613862</v>
      </c>
      <c r="AF7">
        <v>156931488000</v>
      </c>
      <c r="AG7" s="86"/>
      <c r="AH7">
        <v>6522791840.7060003</v>
      </c>
      <c r="AI7">
        <v>24.058944671613862</v>
      </c>
      <c r="AJ7" s="47">
        <v>156931488000</v>
      </c>
    </row>
    <row r="8" spans="1:36" ht="15.75" customHeight="1" x14ac:dyDescent="0.25">
      <c r="A8" s="75">
        <v>2004</v>
      </c>
      <c r="B8">
        <f xml:space="preserve"> Fig_futuro_Kaya!J8*10^6</f>
        <v>7366558713.6240015</v>
      </c>
      <c r="C8" s="52">
        <f xml:space="preserve"> Fig_historico_Kaya!K18</f>
        <v>22.322952126326239</v>
      </c>
      <c r="D8">
        <f t="shared" si="0"/>
        <v>164443337500</v>
      </c>
      <c r="E8" s="86"/>
      <c r="F8" s="90">
        <v>7366558713.6240015</v>
      </c>
      <c r="G8" s="90">
        <v>22.322952126326239</v>
      </c>
      <c r="H8" s="90">
        <v>164443337500</v>
      </c>
      <c r="I8" s="85"/>
      <c r="J8" s="90">
        <v>7366558713.6240015</v>
      </c>
      <c r="K8" s="90">
        <v>22.322952126326239</v>
      </c>
      <c r="L8" s="90">
        <v>164443337500</v>
      </c>
      <c r="M8" s="85"/>
      <c r="N8" s="90">
        <v>7366558713.6240015</v>
      </c>
      <c r="O8">
        <v>22.322952126326239</v>
      </c>
      <c r="P8">
        <v>164443337500</v>
      </c>
      <c r="Q8" s="86"/>
      <c r="R8" s="90">
        <v>7366558713.6240015</v>
      </c>
      <c r="S8" s="90">
        <v>22.322952126326239</v>
      </c>
      <c r="T8">
        <v>164443337500</v>
      </c>
      <c r="U8" s="86"/>
      <c r="V8">
        <v>7366558713.6240015</v>
      </c>
      <c r="W8">
        <v>22.322952126326239</v>
      </c>
      <c r="X8">
        <v>164443337500</v>
      </c>
      <c r="Y8" s="85"/>
      <c r="Z8">
        <v>7366558713.6240015</v>
      </c>
      <c r="AA8">
        <v>22.322952126326239</v>
      </c>
      <c r="AB8">
        <v>164443337500</v>
      </c>
      <c r="AC8" s="85"/>
      <c r="AD8">
        <v>7366558713.6240015</v>
      </c>
      <c r="AE8">
        <v>22.322952126326239</v>
      </c>
      <c r="AF8">
        <v>164443337500</v>
      </c>
      <c r="AG8" s="86"/>
      <c r="AH8">
        <v>7366558713.6240015</v>
      </c>
      <c r="AI8">
        <v>22.322952126326239</v>
      </c>
      <c r="AJ8" s="47">
        <v>164443337500</v>
      </c>
    </row>
    <row r="9" spans="1:36" ht="15.75" customHeight="1" x14ac:dyDescent="0.25">
      <c r="A9" s="75">
        <v>2005</v>
      </c>
      <c r="B9">
        <f xml:space="preserve"> Fig_futuro_Kaya!J9*10^6</f>
        <v>8261617263.7509985</v>
      </c>
      <c r="C9" s="52">
        <f xml:space="preserve"> Fig_historico_Kaya!K19</f>
        <v>21.035950016599482</v>
      </c>
      <c r="D9">
        <f t="shared" si="0"/>
        <v>173790967816.54138</v>
      </c>
      <c r="E9" s="86"/>
      <c r="F9" s="90">
        <v>8261617263.7509985</v>
      </c>
      <c r="G9" s="90">
        <v>21.035950016599482</v>
      </c>
      <c r="H9" s="90">
        <v>173790967816.54138</v>
      </c>
      <c r="I9" s="85"/>
      <c r="J9" s="90">
        <v>8261617263.7509985</v>
      </c>
      <c r="K9" s="90">
        <v>21.035950016599482</v>
      </c>
      <c r="L9" s="90">
        <v>173790967816.54138</v>
      </c>
      <c r="M9" s="85"/>
      <c r="N9" s="90">
        <v>8261617263.7509985</v>
      </c>
      <c r="O9">
        <v>21.035950016599482</v>
      </c>
      <c r="P9">
        <v>173790967816.54138</v>
      </c>
      <c r="Q9" s="86"/>
      <c r="R9" s="90">
        <v>8261617263.7509985</v>
      </c>
      <c r="S9" s="90">
        <v>21.035950016599482</v>
      </c>
      <c r="T9">
        <v>173790967816.54138</v>
      </c>
      <c r="U9" s="86"/>
      <c r="V9">
        <v>8261617263.7509985</v>
      </c>
      <c r="W9">
        <v>21.035950016599482</v>
      </c>
      <c r="X9">
        <v>173790967816.54138</v>
      </c>
      <c r="Y9" s="85"/>
      <c r="Z9">
        <v>8261617263.7509985</v>
      </c>
      <c r="AA9">
        <v>21.035950016599482</v>
      </c>
      <c r="AB9">
        <v>173790967816.54138</v>
      </c>
      <c r="AC9" s="85"/>
      <c r="AD9">
        <v>8261617263.7509985</v>
      </c>
      <c r="AE9">
        <v>21.035950016599482</v>
      </c>
      <c r="AF9">
        <v>173790967816.54138</v>
      </c>
      <c r="AG9" s="86"/>
      <c r="AH9">
        <v>8261617263.7509985</v>
      </c>
      <c r="AI9">
        <v>21.035950016599482</v>
      </c>
      <c r="AJ9" s="47">
        <v>173790967816.54138</v>
      </c>
    </row>
    <row r="10" spans="1:36" ht="15.75" customHeight="1" x14ac:dyDescent="0.25">
      <c r="A10" s="75">
        <v>2006</v>
      </c>
      <c r="B10">
        <f xml:space="preserve"> Fig_futuro_Kaya!J10*10^6</f>
        <v>8505316465.9410009</v>
      </c>
      <c r="C10" s="52">
        <f xml:space="preserve"> Fig_historico_Kaya!K20</f>
        <v>20.432455182109798</v>
      </c>
      <c r="D10">
        <f t="shared" si="0"/>
        <v>173784497500</v>
      </c>
      <c r="E10" s="86"/>
      <c r="F10" s="90">
        <v>8505316465.9410009</v>
      </c>
      <c r="G10" s="90">
        <v>20.432455182109798</v>
      </c>
      <c r="H10" s="90">
        <v>173784497500</v>
      </c>
      <c r="I10" s="85"/>
      <c r="J10" s="90">
        <v>8505316465.9410009</v>
      </c>
      <c r="K10" s="90">
        <v>20.432455182109798</v>
      </c>
      <c r="L10" s="90">
        <v>173784497500</v>
      </c>
      <c r="M10" s="85"/>
      <c r="N10" s="90">
        <v>8505316465.9410009</v>
      </c>
      <c r="O10">
        <v>20.432455182109798</v>
      </c>
      <c r="P10">
        <v>173784497500</v>
      </c>
      <c r="Q10" s="86"/>
      <c r="R10" s="90">
        <v>8505316465.9410009</v>
      </c>
      <c r="S10" s="90">
        <v>20.432455182109798</v>
      </c>
      <c r="T10">
        <v>173784497500</v>
      </c>
      <c r="U10" s="86"/>
      <c r="V10">
        <v>8505316465.9410009</v>
      </c>
      <c r="W10">
        <v>20.432455182109798</v>
      </c>
      <c r="X10">
        <v>173784497500</v>
      </c>
      <c r="Y10" s="85"/>
      <c r="Z10">
        <v>8505316465.9410009</v>
      </c>
      <c r="AA10">
        <v>20.432455182109798</v>
      </c>
      <c r="AB10">
        <v>173784497500</v>
      </c>
      <c r="AC10" s="85"/>
      <c r="AD10">
        <v>8505316465.9410009</v>
      </c>
      <c r="AE10">
        <v>20.432455182109798</v>
      </c>
      <c r="AF10">
        <v>173784497500</v>
      </c>
      <c r="AG10" s="86"/>
      <c r="AH10">
        <v>8505316465.9410009</v>
      </c>
      <c r="AI10">
        <v>20.432455182109798</v>
      </c>
      <c r="AJ10" s="47">
        <v>173784497500</v>
      </c>
    </row>
    <row r="11" spans="1:36" ht="15.75" customHeight="1" x14ac:dyDescent="0.25">
      <c r="A11" s="75">
        <v>2007</v>
      </c>
      <c r="B11">
        <f xml:space="preserve"> Fig_futuro_Kaya!J11*10^6</f>
        <v>9141750373.1630001</v>
      </c>
      <c r="C11" s="52">
        <f xml:space="preserve"> Fig_historico_Kaya!K21</f>
        <v>20.826422616302363</v>
      </c>
      <c r="D11">
        <f t="shared" si="0"/>
        <v>190389956724.23248</v>
      </c>
      <c r="E11" s="86"/>
      <c r="F11" s="90">
        <v>9141750373.1630001</v>
      </c>
      <c r="G11" s="90">
        <v>20.826422616302363</v>
      </c>
      <c r="H11" s="90">
        <v>190389956724.23248</v>
      </c>
      <c r="I11" s="85"/>
      <c r="J11" s="90">
        <v>9141750373.1630001</v>
      </c>
      <c r="K11" s="90">
        <v>20.826422616302363</v>
      </c>
      <c r="L11" s="90">
        <v>190389956724.23248</v>
      </c>
      <c r="M11" s="85"/>
      <c r="N11" s="90">
        <v>9141750373.1630001</v>
      </c>
      <c r="O11">
        <v>20.826422616302363</v>
      </c>
      <c r="P11">
        <v>190389956724.23248</v>
      </c>
      <c r="Q11" s="86"/>
      <c r="R11" s="90">
        <v>9141750373.1630001</v>
      </c>
      <c r="S11" s="90">
        <v>20.826422616302363</v>
      </c>
      <c r="T11">
        <v>190389956724.23248</v>
      </c>
      <c r="U11" s="86"/>
      <c r="V11">
        <v>9141750373.1630001</v>
      </c>
      <c r="W11">
        <v>20.826422616302363</v>
      </c>
      <c r="X11">
        <v>190389956724.23248</v>
      </c>
      <c r="Y11" s="85"/>
      <c r="Z11">
        <v>9141750373.1630001</v>
      </c>
      <c r="AA11">
        <v>20.826422616302363</v>
      </c>
      <c r="AB11">
        <v>190389956724.23248</v>
      </c>
      <c r="AC11" s="85"/>
      <c r="AD11">
        <v>9141750373.1630001</v>
      </c>
      <c r="AE11">
        <v>20.826422616302363</v>
      </c>
      <c r="AF11">
        <v>190389956724.23248</v>
      </c>
      <c r="AG11" s="86"/>
      <c r="AH11">
        <v>9141750373.1630001</v>
      </c>
      <c r="AI11">
        <v>20.826422616302363</v>
      </c>
      <c r="AJ11" s="47">
        <v>190389956724.23248</v>
      </c>
    </row>
    <row r="12" spans="1:36" ht="15.75" customHeight="1" x14ac:dyDescent="0.25">
      <c r="A12" s="75">
        <v>2008</v>
      </c>
      <c r="B12">
        <f xml:space="preserve"> Fig_futuro_Kaya!J12*10^6</f>
        <v>9689440807.0980015</v>
      </c>
      <c r="C12" s="52">
        <f xml:space="preserve"> Fig_historico_Kaya!K22</f>
        <v>21.631106863732253</v>
      </c>
      <c r="D12">
        <f t="shared" si="0"/>
        <v>209593329548.14496</v>
      </c>
      <c r="E12" s="86"/>
      <c r="F12" s="90">
        <v>9689440807.0980015</v>
      </c>
      <c r="G12" s="90">
        <v>21.631106863732253</v>
      </c>
      <c r="H12" s="90">
        <v>209593329548.14496</v>
      </c>
      <c r="I12" s="85"/>
      <c r="J12" s="90">
        <v>9689440807.0980015</v>
      </c>
      <c r="K12" s="90">
        <v>21.631106863732253</v>
      </c>
      <c r="L12" s="90">
        <v>209593329548.14496</v>
      </c>
      <c r="M12" s="85"/>
      <c r="N12" s="90">
        <v>9689440807.0980015</v>
      </c>
      <c r="O12">
        <v>21.631106863732253</v>
      </c>
      <c r="P12">
        <v>209593329548.14496</v>
      </c>
      <c r="Q12" s="86"/>
      <c r="R12" s="90">
        <v>9689440807.0980015</v>
      </c>
      <c r="S12" s="90">
        <v>21.631106863732253</v>
      </c>
      <c r="T12">
        <v>209593329548.14496</v>
      </c>
      <c r="U12" s="86"/>
      <c r="V12">
        <v>9689440807.0980015</v>
      </c>
      <c r="W12">
        <v>21.631106863732253</v>
      </c>
      <c r="X12">
        <v>209593329548.14496</v>
      </c>
      <c r="Y12" s="85"/>
      <c r="Z12">
        <v>9689440807.0980015</v>
      </c>
      <c r="AA12">
        <v>21.631106863732253</v>
      </c>
      <c r="AB12">
        <v>209593329548.14496</v>
      </c>
      <c r="AC12" s="85"/>
      <c r="AD12">
        <v>9689440807.0980015</v>
      </c>
      <c r="AE12">
        <v>21.631106863732253</v>
      </c>
      <c r="AF12">
        <v>209593329548.14496</v>
      </c>
      <c r="AG12" s="86"/>
      <c r="AH12">
        <v>9689440807.0980015</v>
      </c>
      <c r="AI12">
        <v>21.631106863732253</v>
      </c>
      <c r="AJ12" s="47">
        <v>209593329548.14496</v>
      </c>
    </row>
    <row r="13" spans="1:36" ht="15.75" customHeight="1" x14ac:dyDescent="0.25">
      <c r="A13" s="75">
        <v>2009</v>
      </c>
      <c r="B13">
        <f xml:space="preserve"> Fig_futuro_Kaya!J13*10^6</f>
        <v>10157627519.149</v>
      </c>
      <c r="C13" s="52">
        <f xml:space="preserve"> Fig_historico_Kaya!K23</f>
        <v>20.981136096813181</v>
      </c>
      <c r="D13">
        <f t="shared" si="0"/>
        <v>213118565400</v>
      </c>
      <c r="E13" s="86"/>
      <c r="F13" s="90">
        <v>10157627519.149</v>
      </c>
      <c r="G13" s="90">
        <v>20.981136096813181</v>
      </c>
      <c r="H13" s="90">
        <v>213118565400</v>
      </c>
      <c r="I13" s="85"/>
      <c r="J13" s="90">
        <v>10157627519.149</v>
      </c>
      <c r="K13" s="90">
        <v>20.981136096813181</v>
      </c>
      <c r="L13" s="90">
        <v>213118565400</v>
      </c>
      <c r="M13" s="85"/>
      <c r="N13" s="90">
        <v>10157627519.149</v>
      </c>
      <c r="O13">
        <v>20.981136096813181</v>
      </c>
      <c r="P13">
        <v>213118565400</v>
      </c>
      <c r="Q13" s="86"/>
      <c r="R13" s="90">
        <v>10157627519.149</v>
      </c>
      <c r="S13" s="90">
        <v>20.981136096813181</v>
      </c>
      <c r="T13">
        <v>213118565400</v>
      </c>
      <c r="U13" s="86"/>
      <c r="V13">
        <v>10157627519.149</v>
      </c>
      <c r="W13">
        <v>20.981136096813181</v>
      </c>
      <c r="X13">
        <v>213118565400</v>
      </c>
      <c r="Y13" s="85"/>
      <c r="Z13">
        <v>10157627519.149</v>
      </c>
      <c r="AA13">
        <v>20.981136096813181</v>
      </c>
      <c r="AB13">
        <v>213118565400</v>
      </c>
      <c r="AC13" s="85"/>
      <c r="AD13">
        <v>10157627519.149</v>
      </c>
      <c r="AE13">
        <v>20.981136096813181</v>
      </c>
      <c r="AF13">
        <v>213118565400</v>
      </c>
      <c r="AG13" s="86"/>
      <c r="AH13">
        <v>10157627519.149</v>
      </c>
      <c r="AI13">
        <v>20.981136096813181</v>
      </c>
      <c r="AJ13" s="47">
        <v>213118565400</v>
      </c>
    </row>
    <row r="14" spans="1:36" ht="15.75" customHeight="1" x14ac:dyDescent="0.25">
      <c r="A14" s="75">
        <v>2010</v>
      </c>
      <c r="B14">
        <f xml:space="preserve"> Fig_futuro_Kaya!J14*10^6</f>
        <v>12617404400.912001</v>
      </c>
      <c r="C14" s="52">
        <f xml:space="preserve"> Fig_historico_Kaya!K24</f>
        <v>19.38212053015193</v>
      </c>
      <c r="D14">
        <f t="shared" si="0"/>
        <v>244552052876.14581</v>
      </c>
      <c r="E14" s="86"/>
      <c r="F14" s="90">
        <v>12617404400.912001</v>
      </c>
      <c r="G14" s="90">
        <v>19.38212053015193</v>
      </c>
      <c r="H14" s="90">
        <v>244552052876.14581</v>
      </c>
      <c r="I14" s="85"/>
      <c r="J14" s="90">
        <v>12617404400.912001</v>
      </c>
      <c r="K14" s="90">
        <v>19.38212053015193</v>
      </c>
      <c r="L14" s="90">
        <v>244552052876.14581</v>
      </c>
      <c r="M14" s="85"/>
      <c r="N14" s="90">
        <v>12617404400.912001</v>
      </c>
      <c r="O14">
        <v>19.38212053015193</v>
      </c>
      <c r="P14">
        <v>244552052876.14581</v>
      </c>
      <c r="Q14" s="86"/>
      <c r="R14" s="90">
        <v>12617404400.912001</v>
      </c>
      <c r="S14" s="90">
        <v>19.38212053015193</v>
      </c>
      <c r="T14">
        <v>244552052876.14581</v>
      </c>
      <c r="U14" s="86"/>
      <c r="V14">
        <v>12617404400.912001</v>
      </c>
      <c r="W14">
        <v>19.38212053015193</v>
      </c>
      <c r="X14">
        <v>244552052876.14581</v>
      </c>
      <c r="Y14" s="85"/>
      <c r="Z14">
        <v>12617404400.912001</v>
      </c>
      <c r="AA14">
        <v>19.38212053015193</v>
      </c>
      <c r="AB14">
        <v>244552052876.14581</v>
      </c>
      <c r="AC14" s="85"/>
      <c r="AD14">
        <v>12617404400.912001</v>
      </c>
      <c r="AE14">
        <v>19.38212053015193</v>
      </c>
      <c r="AF14">
        <v>244552052876.14581</v>
      </c>
      <c r="AG14" s="86"/>
      <c r="AH14">
        <v>12617404400.912001</v>
      </c>
      <c r="AI14">
        <v>19.38212053015193</v>
      </c>
      <c r="AJ14" s="47">
        <v>244552052876.14581</v>
      </c>
    </row>
    <row r="15" spans="1:36" ht="15.75" customHeight="1" x14ac:dyDescent="0.25">
      <c r="A15" s="75">
        <v>2011</v>
      </c>
      <c r="B15">
        <f xml:space="preserve"> Fig_futuro_Kaya!J15*10^6</f>
        <v>14639939826.229998</v>
      </c>
      <c r="C15" s="52">
        <f xml:space="preserve"> Fig_historico_Kaya!K25</f>
        <v>18.55519694122497</v>
      </c>
      <c r="D15">
        <f t="shared" si="0"/>
        <v>271646966683.38046</v>
      </c>
      <c r="E15" s="86"/>
      <c r="F15" s="90">
        <v>14639939826.229998</v>
      </c>
      <c r="G15" s="90">
        <v>18.55519694122497</v>
      </c>
      <c r="H15" s="90">
        <v>271646966683.38046</v>
      </c>
      <c r="I15" s="85"/>
      <c r="J15" s="90">
        <v>14639939826.229998</v>
      </c>
      <c r="K15" s="90">
        <v>18.55519694122497</v>
      </c>
      <c r="L15" s="90">
        <v>271646966683.38046</v>
      </c>
      <c r="M15" s="85"/>
      <c r="N15" s="90">
        <v>14639939826.229998</v>
      </c>
      <c r="O15">
        <v>18.55519694122497</v>
      </c>
      <c r="P15">
        <v>271646966683.38046</v>
      </c>
      <c r="Q15" s="86"/>
      <c r="R15" s="90">
        <v>14639939826.229998</v>
      </c>
      <c r="S15" s="90">
        <v>18.55519694122497</v>
      </c>
      <c r="T15">
        <v>271646966683.38046</v>
      </c>
      <c r="U15" s="86"/>
      <c r="V15">
        <v>14639939826.229998</v>
      </c>
      <c r="W15">
        <v>18.55519694122497</v>
      </c>
      <c r="X15">
        <v>271646966683.38046</v>
      </c>
      <c r="Y15" s="85"/>
      <c r="Z15">
        <v>14639939826.229998</v>
      </c>
      <c r="AA15">
        <v>18.55519694122497</v>
      </c>
      <c r="AB15">
        <v>271646966683.38046</v>
      </c>
      <c r="AC15" s="85"/>
      <c r="AD15">
        <v>14639939826.229998</v>
      </c>
      <c r="AE15">
        <v>18.55519694122497</v>
      </c>
      <c r="AF15">
        <v>271646966683.38046</v>
      </c>
      <c r="AG15" s="86"/>
      <c r="AH15">
        <v>14639939826.229998</v>
      </c>
      <c r="AI15">
        <v>18.55519694122497</v>
      </c>
      <c r="AJ15" s="47">
        <v>271646966683.38046</v>
      </c>
    </row>
    <row r="16" spans="1:36" ht="15.75" customHeight="1" x14ac:dyDescent="0.25">
      <c r="A16" s="75">
        <v>2012</v>
      </c>
      <c r="B16">
        <f xml:space="preserve"> Fig_futuro_Kaya!J16*10^6</f>
        <v>15346298321.383001</v>
      </c>
      <c r="C16" s="52">
        <f xml:space="preserve"> Fig_historico_Kaya!K26</f>
        <v>18.566769587522401</v>
      </c>
      <c r="D16">
        <f t="shared" si="0"/>
        <v>284931184954.5</v>
      </c>
      <c r="E16" s="86"/>
      <c r="F16" s="90">
        <v>15346298321.383001</v>
      </c>
      <c r="G16" s="90">
        <v>18.566769587522401</v>
      </c>
      <c r="H16" s="90">
        <v>284931184954.5</v>
      </c>
      <c r="I16" s="85"/>
      <c r="J16" s="90">
        <v>15346298321.383001</v>
      </c>
      <c r="K16" s="90">
        <v>18.566769587522401</v>
      </c>
      <c r="L16" s="90">
        <v>284931184954.5</v>
      </c>
      <c r="M16" s="85"/>
      <c r="N16" s="90">
        <v>15346298321.383001</v>
      </c>
      <c r="O16">
        <v>18.566769587522401</v>
      </c>
      <c r="P16">
        <v>284931184954.5</v>
      </c>
      <c r="Q16" s="86"/>
      <c r="R16" s="90">
        <v>15346298321.383001</v>
      </c>
      <c r="S16" s="90">
        <v>18.566769587522401</v>
      </c>
      <c r="T16">
        <v>284931184954.5</v>
      </c>
      <c r="U16" s="86"/>
      <c r="V16">
        <v>15346298321.383001</v>
      </c>
      <c r="W16">
        <v>18.566769587522401</v>
      </c>
      <c r="X16">
        <v>284931184954.5</v>
      </c>
      <c r="Y16" s="85"/>
      <c r="Z16">
        <v>15346298321.383001</v>
      </c>
      <c r="AA16">
        <v>18.566769587522401</v>
      </c>
      <c r="AB16">
        <v>284931184954.5</v>
      </c>
      <c r="AC16" s="85"/>
      <c r="AD16">
        <v>15346298321.383001</v>
      </c>
      <c r="AE16">
        <v>18.566769587522401</v>
      </c>
      <c r="AF16">
        <v>284931184954.5</v>
      </c>
      <c r="AG16" s="86"/>
      <c r="AH16">
        <v>15346298321.383001</v>
      </c>
      <c r="AI16">
        <v>18.566769587522401</v>
      </c>
      <c r="AJ16" s="47">
        <v>284931184954.5</v>
      </c>
    </row>
    <row r="17" spans="1:36" ht="15.75" customHeight="1" x14ac:dyDescent="0.25">
      <c r="A17" s="75">
        <v>2013</v>
      </c>
      <c r="B17">
        <f xml:space="preserve"> Fig_futuro_Kaya!J17*10^6</f>
        <v>15869492021.964001</v>
      </c>
      <c r="C17" s="52">
        <f xml:space="preserve"> Fig_historico_Kaya!K27</f>
        <v>17.875713733267446</v>
      </c>
      <c r="D17">
        <f t="shared" si="0"/>
        <v>283678496477.00006</v>
      </c>
      <c r="E17" s="86"/>
      <c r="F17" s="90">
        <v>15869492021.964001</v>
      </c>
      <c r="G17" s="90">
        <v>17.875713733267446</v>
      </c>
      <c r="H17" s="90">
        <v>283678496477.00006</v>
      </c>
      <c r="I17" s="85"/>
      <c r="J17" s="90">
        <v>15869492021.964001</v>
      </c>
      <c r="K17" s="90">
        <v>17.875713733267446</v>
      </c>
      <c r="L17" s="90">
        <v>283678496477.00006</v>
      </c>
      <c r="M17" s="85"/>
      <c r="N17" s="90">
        <v>15869492021.964001</v>
      </c>
      <c r="O17">
        <v>17.875713733267446</v>
      </c>
      <c r="P17">
        <v>283678496477.00006</v>
      </c>
      <c r="Q17" s="86"/>
      <c r="R17" s="90">
        <v>15869492021.964001</v>
      </c>
      <c r="S17" s="90">
        <v>17.875713733267446</v>
      </c>
      <c r="T17">
        <v>283678496477.00006</v>
      </c>
      <c r="U17" s="86"/>
      <c r="V17">
        <v>15869492021.964001</v>
      </c>
      <c r="W17">
        <v>17.875713733267446</v>
      </c>
      <c r="X17">
        <v>283678496477.00006</v>
      </c>
      <c r="Y17" s="85"/>
      <c r="Z17">
        <v>15869492021.964001</v>
      </c>
      <c r="AA17">
        <v>17.875713733267446</v>
      </c>
      <c r="AB17">
        <v>283678496477.00006</v>
      </c>
      <c r="AC17" s="85"/>
      <c r="AD17">
        <v>15869492021.964001</v>
      </c>
      <c r="AE17">
        <v>17.875713733267446</v>
      </c>
      <c r="AF17">
        <v>283678496477.00006</v>
      </c>
      <c r="AG17" s="86"/>
      <c r="AH17">
        <v>15869492021.964001</v>
      </c>
      <c r="AI17">
        <v>17.875713733267446</v>
      </c>
      <c r="AJ17" s="47">
        <v>283678496477.00006</v>
      </c>
    </row>
    <row r="18" spans="1:36" ht="15.75" customHeight="1" x14ac:dyDescent="0.25">
      <c r="A18" s="75">
        <v>2014</v>
      </c>
      <c r="B18">
        <f xml:space="preserve"> Fig_futuro_Kaya!J18*10^6</f>
        <v>16957319391.302</v>
      </c>
      <c r="C18" s="52">
        <f xml:space="preserve"> Fig_historico_Kaya!K28</f>
        <v>17.192104021673195</v>
      </c>
      <c r="D18">
        <f t="shared" si="0"/>
        <v>291531998904</v>
      </c>
      <c r="E18" s="86"/>
      <c r="F18" s="90">
        <v>16957319391.302</v>
      </c>
      <c r="G18" s="90">
        <v>17.192104021673195</v>
      </c>
      <c r="H18" s="90">
        <v>291531998904</v>
      </c>
      <c r="I18" s="85"/>
      <c r="J18" s="90">
        <v>16957319391.302</v>
      </c>
      <c r="K18" s="90">
        <v>17.192104021673195</v>
      </c>
      <c r="L18" s="90">
        <v>291531998904</v>
      </c>
      <c r="M18" s="85"/>
      <c r="N18" s="90">
        <v>16957319391.302</v>
      </c>
      <c r="O18">
        <v>17.192104021673195</v>
      </c>
      <c r="P18">
        <v>291531998904</v>
      </c>
      <c r="Q18" s="86"/>
      <c r="R18" s="90">
        <v>16957319391.302</v>
      </c>
      <c r="S18" s="90">
        <v>17.192104021673195</v>
      </c>
      <c r="T18">
        <v>291531998904</v>
      </c>
      <c r="U18" s="86"/>
      <c r="V18">
        <v>16957319391.302</v>
      </c>
      <c r="W18">
        <v>17.192104021673195</v>
      </c>
      <c r="X18">
        <v>291531998904</v>
      </c>
      <c r="Y18" s="85"/>
      <c r="Z18">
        <v>16957319391.302</v>
      </c>
      <c r="AA18">
        <v>17.192104021673195</v>
      </c>
      <c r="AB18">
        <v>291531998904</v>
      </c>
      <c r="AC18" s="85"/>
      <c r="AD18">
        <v>16957319391.302</v>
      </c>
      <c r="AE18">
        <v>17.192104021673195</v>
      </c>
      <c r="AF18">
        <v>291531998904</v>
      </c>
      <c r="AG18" s="86"/>
      <c r="AH18">
        <v>16957319391.302</v>
      </c>
      <c r="AI18">
        <v>17.192104021673195</v>
      </c>
      <c r="AJ18" s="47">
        <v>291531998904</v>
      </c>
    </row>
    <row r="19" spans="1:36" ht="15.75" customHeight="1" x14ac:dyDescent="0.25">
      <c r="A19" s="75">
        <v>2015</v>
      </c>
      <c r="B19">
        <f xml:space="preserve"> Fig_futuro_Kaya!J19*10^6</f>
        <v>17036120056.485001</v>
      </c>
      <c r="C19" s="52">
        <f xml:space="preserve"> Fig_historico_Kaya!K29</f>
        <v>16.575707500711399</v>
      </c>
      <c r="D19">
        <f t="shared" si="0"/>
        <v>282385743003.29834</v>
      </c>
      <c r="E19" s="86"/>
      <c r="F19" s="90">
        <v>17036120056.485001</v>
      </c>
      <c r="G19" s="90">
        <v>16.575707500711399</v>
      </c>
      <c r="H19" s="90">
        <v>282385743003.29834</v>
      </c>
      <c r="I19" s="85"/>
      <c r="J19" s="90">
        <v>17036120056.485001</v>
      </c>
      <c r="K19" s="90">
        <v>16.575707500711399</v>
      </c>
      <c r="L19" s="90">
        <v>282385743003.29834</v>
      </c>
      <c r="M19" s="85"/>
      <c r="N19" s="90">
        <v>17036120056.485001</v>
      </c>
      <c r="O19">
        <v>16.575707500711399</v>
      </c>
      <c r="P19">
        <v>282385743003.29834</v>
      </c>
      <c r="Q19" s="86"/>
      <c r="R19" s="90">
        <v>17036120056.485001</v>
      </c>
      <c r="S19" s="90">
        <v>16.575707500711399</v>
      </c>
      <c r="T19">
        <v>282385743003.29834</v>
      </c>
      <c r="U19" s="86"/>
      <c r="V19">
        <v>17036120056.485001</v>
      </c>
      <c r="W19">
        <v>16.575707500711399</v>
      </c>
      <c r="X19">
        <v>282385743003.29834</v>
      </c>
      <c r="Y19" s="85"/>
      <c r="Z19">
        <v>17036120056.485001</v>
      </c>
      <c r="AA19">
        <v>16.575707500711399</v>
      </c>
      <c r="AB19">
        <v>282385743003.29834</v>
      </c>
      <c r="AC19" s="85"/>
      <c r="AD19">
        <v>17036120056.485001</v>
      </c>
      <c r="AE19">
        <v>16.575707500711399</v>
      </c>
      <c r="AF19">
        <v>282385743003.29834</v>
      </c>
      <c r="AG19" s="86"/>
      <c r="AH19">
        <v>17036120056.485001</v>
      </c>
      <c r="AI19">
        <v>16.575707500711399</v>
      </c>
      <c r="AJ19" s="47">
        <v>282385743003.29834</v>
      </c>
    </row>
    <row r="20" spans="1:36" ht="15.75" customHeight="1" x14ac:dyDescent="0.25">
      <c r="A20" s="75">
        <v>2016</v>
      </c>
      <c r="B20">
        <f xml:space="preserve"> Fig_futuro_Kaya!J20*10^6</f>
        <v>16333292303.236998</v>
      </c>
      <c r="C20" s="52">
        <f xml:space="preserve"> Fig_historico_Kaya!K30</f>
        <v>16.189969992583379</v>
      </c>
      <c r="D20">
        <f t="shared" si="0"/>
        <v>264435512269.50006</v>
      </c>
      <c r="E20" s="86"/>
      <c r="F20" s="90">
        <v>16333292303.236998</v>
      </c>
      <c r="G20" s="90">
        <v>16.189969992583379</v>
      </c>
      <c r="H20" s="90">
        <v>264435512269.50006</v>
      </c>
      <c r="I20" s="85"/>
      <c r="J20" s="90">
        <v>16333292303.236998</v>
      </c>
      <c r="K20" s="90">
        <v>16.189969992583379</v>
      </c>
      <c r="L20" s="90">
        <v>264435512269.50006</v>
      </c>
      <c r="M20" s="85"/>
      <c r="N20" s="90">
        <v>16333292303.236998</v>
      </c>
      <c r="O20">
        <v>16.189969992583379</v>
      </c>
      <c r="P20">
        <v>264435512269.50006</v>
      </c>
      <c r="Q20" s="86"/>
      <c r="R20" s="90">
        <v>16333292303.236998</v>
      </c>
      <c r="S20" s="90">
        <v>16.189969992583379</v>
      </c>
      <c r="T20">
        <v>264435512269.50006</v>
      </c>
      <c r="U20" s="86"/>
      <c r="V20">
        <v>16333292303.236998</v>
      </c>
      <c r="W20">
        <v>16.189969992583379</v>
      </c>
      <c r="X20">
        <v>264435512269.50006</v>
      </c>
      <c r="Y20" s="85"/>
      <c r="Z20">
        <v>16333292303.236998</v>
      </c>
      <c r="AA20">
        <v>16.189969992583379</v>
      </c>
      <c r="AB20">
        <v>264435512269.50006</v>
      </c>
      <c r="AC20" s="85"/>
      <c r="AD20">
        <v>16333292303.236998</v>
      </c>
      <c r="AE20">
        <v>16.189969992583379</v>
      </c>
      <c r="AF20">
        <v>264435512269.50006</v>
      </c>
      <c r="AG20" s="86"/>
      <c r="AH20">
        <v>16333292303.236998</v>
      </c>
      <c r="AI20">
        <v>16.189969992583379</v>
      </c>
      <c r="AJ20" s="47">
        <v>264435512269.50006</v>
      </c>
    </row>
    <row r="21" spans="1:36" ht="15.75" customHeight="1" x14ac:dyDescent="0.25">
      <c r="A21" s="75">
        <v>2017</v>
      </c>
      <c r="B21">
        <f xml:space="preserve"> Fig_futuro_Kaya!J21*10^6</f>
        <v>16857062678.297997</v>
      </c>
      <c r="C21" s="52">
        <f xml:space="preserve"> Fig_historico_Kaya!K31</f>
        <v>15.45628273693449</v>
      </c>
      <c r="D21">
        <f t="shared" si="0"/>
        <v>260547526870</v>
      </c>
      <c r="E21" s="86"/>
      <c r="F21" s="90">
        <v>16857062678.297997</v>
      </c>
      <c r="G21" s="90">
        <v>15.45628273693449</v>
      </c>
      <c r="H21" s="90">
        <v>260547526870</v>
      </c>
      <c r="I21" s="85"/>
      <c r="J21" s="90">
        <v>16857062678.297997</v>
      </c>
      <c r="K21" s="90">
        <v>15.45628273693449</v>
      </c>
      <c r="L21" s="90">
        <v>260547526870</v>
      </c>
      <c r="M21" s="85"/>
      <c r="N21" s="90">
        <v>16857062678.297997</v>
      </c>
      <c r="O21">
        <v>15.45628273693449</v>
      </c>
      <c r="P21">
        <v>260547526870</v>
      </c>
      <c r="Q21" s="86"/>
      <c r="R21" s="90">
        <v>16857062678.297997</v>
      </c>
      <c r="S21" s="90">
        <v>15.45628273693449</v>
      </c>
      <c r="T21">
        <v>260547526870</v>
      </c>
      <c r="U21" s="86"/>
      <c r="V21">
        <v>16857062678.297997</v>
      </c>
      <c r="W21">
        <v>15.45628273693449</v>
      </c>
      <c r="X21">
        <v>260547526870</v>
      </c>
      <c r="Y21" s="85"/>
      <c r="Z21">
        <v>16857062678.297997</v>
      </c>
      <c r="AA21">
        <v>15.45628273693449</v>
      </c>
      <c r="AB21">
        <v>260547526870</v>
      </c>
      <c r="AC21" s="85"/>
      <c r="AD21">
        <v>16857062678.297997</v>
      </c>
      <c r="AE21">
        <v>15.45628273693449</v>
      </c>
      <c r="AF21">
        <v>260547526870</v>
      </c>
      <c r="AG21" s="86"/>
      <c r="AH21">
        <v>16857062678.297997</v>
      </c>
      <c r="AI21">
        <v>15.45628273693449</v>
      </c>
      <c r="AJ21" s="47">
        <v>260547526870</v>
      </c>
    </row>
    <row r="22" spans="1:36" ht="15.75" customHeight="1" x14ac:dyDescent="0.25">
      <c r="A22" s="75">
        <v>2018</v>
      </c>
      <c r="B22">
        <f xml:space="preserve"> Fig_futuro_Kaya!J22*10^6</f>
        <v>18405736452.665001</v>
      </c>
      <c r="C22" s="52">
        <f xml:space="preserve"> Fig_historico_Kaya!K32</f>
        <v>15.149716147876603</v>
      </c>
      <c r="D22">
        <f t="shared" si="0"/>
        <v>278841682750.5</v>
      </c>
      <c r="E22" s="86"/>
      <c r="F22" s="90">
        <v>18405736452.665001</v>
      </c>
      <c r="G22" s="90">
        <v>15.149716147876603</v>
      </c>
      <c r="H22" s="90">
        <v>278841682750.5</v>
      </c>
      <c r="I22" s="85"/>
      <c r="J22" s="90">
        <v>18405736452.665001</v>
      </c>
      <c r="K22" s="90">
        <v>15.149716147876603</v>
      </c>
      <c r="L22" s="90">
        <v>278841682750.5</v>
      </c>
      <c r="M22" s="85"/>
      <c r="N22" s="90">
        <v>18405736452.665001</v>
      </c>
      <c r="O22">
        <v>15.149716147876603</v>
      </c>
      <c r="P22">
        <v>278841682750.5</v>
      </c>
      <c r="Q22" s="86"/>
      <c r="R22" s="90">
        <v>18405736452.665001</v>
      </c>
      <c r="S22" s="90">
        <v>15.149716147876603</v>
      </c>
      <c r="T22">
        <v>278841682750.5</v>
      </c>
      <c r="U22" s="86"/>
      <c r="V22">
        <v>18405736452.665001</v>
      </c>
      <c r="W22">
        <v>15.149716147876603</v>
      </c>
      <c r="X22">
        <v>278841682750.5</v>
      </c>
      <c r="Y22" s="85"/>
      <c r="Z22">
        <v>18405736452.665001</v>
      </c>
      <c r="AA22">
        <v>15.149716147876603</v>
      </c>
      <c r="AB22">
        <v>278841682750.5</v>
      </c>
      <c r="AC22" s="85"/>
      <c r="AD22">
        <v>18405736452.665001</v>
      </c>
      <c r="AE22">
        <v>15.149716147876603</v>
      </c>
      <c r="AF22">
        <v>278841682750.5</v>
      </c>
      <c r="AG22" s="86"/>
      <c r="AH22">
        <v>18405736452.665001</v>
      </c>
      <c r="AI22">
        <v>15.149716147876603</v>
      </c>
      <c r="AJ22" s="47">
        <v>278841682750.5</v>
      </c>
    </row>
    <row r="23" spans="1:36" ht="15.75" customHeight="1" x14ac:dyDescent="0.25">
      <c r="A23" s="75">
        <v>2019</v>
      </c>
      <c r="B23">
        <f xml:space="preserve"> Fig_futuro_Kaya!J23*10^6</f>
        <v>18167924061.028</v>
      </c>
      <c r="C23" s="52">
        <f xml:space="preserve"> Fig_historico_Kaya!K33</f>
        <v>14.955053322070425</v>
      </c>
      <c r="D23">
        <f t="shared" si="0"/>
        <v>271702273084</v>
      </c>
      <c r="E23" s="86"/>
      <c r="F23" s="90">
        <v>18167924061.028</v>
      </c>
      <c r="G23" s="90">
        <v>14.955053322070425</v>
      </c>
      <c r="H23" s="90">
        <v>271702273084</v>
      </c>
      <c r="I23" s="85"/>
      <c r="J23" s="90">
        <v>18167924061.028</v>
      </c>
      <c r="K23" s="90">
        <v>14.955053322070425</v>
      </c>
      <c r="L23" s="90">
        <v>271702273084</v>
      </c>
      <c r="M23" s="85"/>
      <c r="N23" s="90">
        <v>18167924061.028</v>
      </c>
      <c r="O23">
        <v>14.955053322070425</v>
      </c>
      <c r="P23">
        <v>271702273084</v>
      </c>
      <c r="Q23" s="86"/>
      <c r="R23" s="90">
        <v>18167924061.028</v>
      </c>
      <c r="S23" s="90">
        <v>14.955053322070425</v>
      </c>
      <c r="T23">
        <v>271702273084</v>
      </c>
      <c r="U23" s="86"/>
      <c r="V23">
        <v>18167924061.028</v>
      </c>
      <c r="W23">
        <v>14.955053322070425</v>
      </c>
      <c r="X23">
        <v>271702273084</v>
      </c>
      <c r="Y23" s="85"/>
      <c r="Z23">
        <v>18167924061.028</v>
      </c>
      <c r="AA23">
        <v>14.955053322070425</v>
      </c>
      <c r="AB23">
        <v>271702273084</v>
      </c>
      <c r="AC23" s="85"/>
      <c r="AD23">
        <v>18167924061.028</v>
      </c>
      <c r="AE23">
        <v>14.955053322070425</v>
      </c>
      <c r="AF23">
        <v>271702273084</v>
      </c>
      <c r="AG23" s="86"/>
      <c r="AH23">
        <v>18167924061.028</v>
      </c>
      <c r="AI23">
        <v>14.955053322070425</v>
      </c>
      <c r="AJ23" s="47">
        <v>271702273084</v>
      </c>
    </row>
    <row r="24" spans="1:36" ht="15.75" customHeight="1" x14ac:dyDescent="0.25">
      <c r="A24" s="75">
        <v>2020</v>
      </c>
      <c r="B24">
        <f xml:space="preserve"> Fig_futuro_Kaya!J24*10^6</f>
        <v>8664448114.6819992</v>
      </c>
      <c r="C24" s="52">
        <f xml:space="preserve"> Fig_historico_Kaya!K34</f>
        <v>15.928959025806968</v>
      </c>
      <c r="D24">
        <f t="shared" si="0"/>
        <v>138015639000</v>
      </c>
      <c r="E24" s="86"/>
      <c r="F24" s="90">
        <v>8664448114.6819992</v>
      </c>
      <c r="G24" s="90">
        <v>15.928959025806968</v>
      </c>
      <c r="H24" s="90">
        <v>138015639000</v>
      </c>
      <c r="I24" s="85"/>
      <c r="J24" s="90">
        <v>8664448114.6819992</v>
      </c>
      <c r="K24" s="90">
        <v>15.928959025806968</v>
      </c>
      <c r="L24" s="90">
        <v>138015639000</v>
      </c>
      <c r="M24" s="85"/>
      <c r="N24" s="90">
        <v>8664448114.6819992</v>
      </c>
      <c r="O24">
        <v>15.928959025806968</v>
      </c>
      <c r="P24">
        <v>138015639000</v>
      </c>
      <c r="Q24" s="86"/>
      <c r="R24" s="90">
        <v>8664448114.6819992</v>
      </c>
      <c r="S24" s="90">
        <v>15.928959025806968</v>
      </c>
      <c r="T24">
        <v>138015639000</v>
      </c>
      <c r="U24" s="86"/>
      <c r="V24">
        <v>8664448114.6819992</v>
      </c>
      <c r="W24">
        <v>15.928959025806968</v>
      </c>
      <c r="X24">
        <v>138015639000</v>
      </c>
      <c r="Y24" s="85"/>
      <c r="Z24">
        <v>8664448114.6819992</v>
      </c>
      <c r="AA24">
        <v>15.928959025806968</v>
      </c>
      <c r="AB24">
        <v>138015639000</v>
      </c>
      <c r="AC24" s="85"/>
      <c r="AD24">
        <v>8664448114.6819992</v>
      </c>
      <c r="AE24">
        <v>15.928959025806968</v>
      </c>
      <c r="AF24">
        <v>138015639000</v>
      </c>
      <c r="AG24" s="86"/>
      <c r="AH24">
        <v>8664448114.6819992</v>
      </c>
      <c r="AI24">
        <v>15.928959025806968</v>
      </c>
      <c r="AJ24" s="47">
        <v>138015639000</v>
      </c>
    </row>
    <row r="25" spans="1:36" ht="15.75" customHeight="1" x14ac:dyDescent="0.25">
      <c r="A25" s="75">
        <v>2021</v>
      </c>
      <c r="B25">
        <f xml:space="preserve"> Fig_futuro_Kaya!J25*10^6</f>
        <v>11147616557.292</v>
      </c>
      <c r="C25" s="52">
        <f xml:space="preserve"> Fig_historico_Kaya!K35</f>
        <v>15.310341228534362</v>
      </c>
      <c r="D25">
        <f t="shared" si="0"/>
        <v>170673813377</v>
      </c>
      <c r="E25" s="86"/>
      <c r="F25" s="90">
        <v>11147616557.292</v>
      </c>
      <c r="G25" s="90">
        <v>15.310341228534362</v>
      </c>
      <c r="H25" s="90">
        <v>170673813377</v>
      </c>
      <c r="I25" s="85"/>
      <c r="J25" s="90">
        <v>11147616557.292</v>
      </c>
      <c r="K25" s="90">
        <v>15.310341228534362</v>
      </c>
      <c r="L25" s="90">
        <v>170673813377</v>
      </c>
      <c r="M25" s="85"/>
      <c r="N25" s="90">
        <v>11147616557.292</v>
      </c>
      <c r="O25">
        <v>15.310341228534362</v>
      </c>
      <c r="P25">
        <v>170673813377</v>
      </c>
      <c r="Q25" s="86"/>
      <c r="R25" s="90">
        <v>11147616557.292</v>
      </c>
      <c r="S25" s="90">
        <v>15.310341228534362</v>
      </c>
      <c r="T25">
        <v>170673813377</v>
      </c>
      <c r="U25" s="86"/>
      <c r="V25">
        <v>11147616557.292</v>
      </c>
      <c r="W25">
        <v>15.310341228534362</v>
      </c>
      <c r="X25">
        <v>170673813377</v>
      </c>
      <c r="Y25" s="85"/>
      <c r="Z25">
        <v>11147616557.292</v>
      </c>
      <c r="AA25">
        <v>15.310341228534362</v>
      </c>
      <c r="AB25">
        <v>170673813377</v>
      </c>
      <c r="AC25" s="85"/>
      <c r="AD25">
        <v>11147616557.292</v>
      </c>
      <c r="AE25">
        <v>15.310341228534362</v>
      </c>
      <c r="AF25">
        <v>170673813377</v>
      </c>
      <c r="AG25" s="86"/>
      <c r="AH25">
        <v>11147616557.292</v>
      </c>
      <c r="AI25">
        <v>15.310341228534362</v>
      </c>
      <c r="AJ25" s="47">
        <v>170673813377</v>
      </c>
    </row>
    <row r="26" spans="1:36" ht="15.75" customHeight="1" x14ac:dyDescent="0.25">
      <c r="A26" s="75">
        <v>2022</v>
      </c>
      <c r="B26">
        <f xml:space="preserve"> Fig_futuro_Kaya!J26*10^6</f>
        <v>15869689067.209</v>
      </c>
      <c r="C26" s="52">
        <f xml:space="preserve"> Fig_historico_Kaya!K36</f>
        <v>14.706149427046395</v>
      </c>
      <c r="D26">
        <f t="shared" si="0"/>
        <v>233382018783.14008</v>
      </c>
      <c r="E26" s="86"/>
      <c r="F26" s="90">
        <v>15869689067.209</v>
      </c>
      <c r="G26" s="90">
        <v>14.706149427046395</v>
      </c>
      <c r="H26" s="90">
        <v>233382018783.14008</v>
      </c>
      <c r="I26" s="85"/>
      <c r="J26" s="90">
        <v>15869689067.209</v>
      </c>
      <c r="K26" s="90">
        <v>14.706149427046395</v>
      </c>
      <c r="L26" s="90">
        <v>233382018783.14008</v>
      </c>
      <c r="M26" s="85"/>
      <c r="N26" s="90">
        <v>15869689067.209</v>
      </c>
      <c r="O26">
        <v>14.706149427046395</v>
      </c>
      <c r="P26">
        <v>233382018783.14008</v>
      </c>
      <c r="Q26" s="86"/>
      <c r="R26" s="90">
        <v>15869689067.209</v>
      </c>
      <c r="S26" s="90">
        <v>14.706149427046395</v>
      </c>
      <c r="T26">
        <v>233382018783.14008</v>
      </c>
      <c r="U26" s="86"/>
      <c r="V26">
        <v>15869689067.209</v>
      </c>
      <c r="W26">
        <v>14.706149427046395</v>
      </c>
      <c r="X26">
        <v>233382018783.14008</v>
      </c>
      <c r="Y26" s="85"/>
      <c r="Z26">
        <v>15869689067.209</v>
      </c>
      <c r="AA26">
        <v>14.706149427046395</v>
      </c>
      <c r="AB26">
        <v>233382018783.14008</v>
      </c>
      <c r="AC26" s="85"/>
      <c r="AD26">
        <v>15869689067.209</v>
      </c>
      <c r="AE26">
        <v>14.706149427046395</v>
      </c>
      <c r="AF26">
        <v>233382018783.14008</v>
      </c>
      <c r="AG26" s="86"/>
      <c r="AH26">
        <v>15869689067.209</v>
      </c>
      <c r="AI26">
        <v>14.706149427046395</v>
      </c>
      <c r="AJ26" s="47">
        <v>233382018783.14008</v>
      </c>
    </row>
    <row r="27" spans="1:36" ht="15.75" customHeight="1" x14ac:dyDescent="0.25">
      <c r="A27" s="76">
        <v>2023</v>
      </c>
      <c r="B27" s="92">
        <f xml:space="preserve"> Fig_futuro_Kaya!J27*10^6</f>
        <v>17656223242.218998</v>
      </c>
      <c r="C27" s="58">
        <f xml:space="preserve"> Fig_historico_Kaya!K37</f>
        <v>14.812096445987896</v>
      </c>
      <c r="D27" s="92">
        <f t="shared" si="0"/>
        <v>261525681535.6409</v>
      </c>
      <c r="E27" s="93"/>
      <c r="F27" s="94">
        <v>17656223242.218998</v>
      </c>
      <c r="G27" s="94">
        <v>14.812096445987896</v>
      </c>
      <c r="H27" s="94">
        <v>261525681535.6409</v>
      </c>
      <c r="I27" s="95"/>
      <c r="J27" s="94">
        <v>17656223242.218998</v>
      </c>
      <c r="K27" s="94">
        <v>14.812096445987896</v>
      </c>
      <c r="L27" s="94">
        <v>261525681535.6409</v>
      </c>
      <c r="M27" s="95"/>
      <c r="N27" s="94">
        <v>17656223242.218998</v>
      </c>
      <c r="O27" s="92">
        <v>14.812096445987896</v>
      </c>
      <c r="P27" s="92">
        <v>261525681535.6409</v>
      </c>
      <c r="Q27" s="93"/>
      <c r="R27" s="94">
        <v>17656223242.218998</v>
      </c>
      <c r="S27" s="94">
        <v>14.812096445987896</v>
      </c>
      <c r="T27" s="92">
        <v>261525681535.6409</v>
      </c>
      <c r="U27" s="93"/>
      <c r="V27" s="92">
        <v>17656223242.218998</v>
      </c>
      <c r="W27" s="92">
        <v>14.812096445987896</v>
      </c>
      <c r="X27" s="92">
        <v>261525681535.6409</v>
      </c>
      <c r="Y27" s="95"/>
      <c r="Z27" s="92">
        <v>17656223242.218998</v>
      </c>
      <c r="AA27" s="92">
        <v>14.812096445987896</v>
      </c>
      <c r="AB27" s="92">
        <v>261525681535.6409</v>
      </c>
      <c r="AC27" s="95"/>
      <c r="AD27" s="92">
        <v>17656223242.218998</v>
      </c>
      <c r="AE27" s="92">
        <v>14.812096445987896</v>
      </c>
      <c r="AF27" s="92">
        <v>261525681535.6409</v>
      </c>
      <c r="AG27" s="93"/>
      <c r="AH27" s="92">
        <v>17656223242.218998</v>
      </c>
      <c r="AI27" s="92">
        <v>14.812096445987896</v>
      </c>
      <c r="AJ27" s="100">
        <v>261525681535.6409</v>
      </c>
    </row>
    <row r="28" spans="1:36" ht="15.75" x14ac:dyDescent="0.25">
      <c r="A28" s="77">
        <v>2024</v>
      </c>
      <c r="B28" s="84">
        <f xml:space="preserve"> Fig_futuro_Kaya!J28*10^6</f>
        <v>18341942081.677319</v>
      </c>
      <c r="C28" s="83">
        <f>Fig_futuro_Kaya!Q28</f>
        <v>14.669900320106411</v>
      </c>
      <c r="D28" s="84">
        <f t="shared" si="0"/>
        <v>269074462015.37134</v>
      </c>
      <c r="E28" s="85"/>
      <c r="F28">
        <f>Fig_futuro_Kaya!J28*10^6</f>
        <v>18341942081.677319</v>
      </c>
      <c r="G28">
        <f xml:space="preserve"> Fig_futuro_Kaya!R28</f>
        <v>14.66342688536335</v>
      </c>
      <c r="H28">
        <f>F28*G28</f>
        <v>268955726650.2446</v>
      </c>
      <c r="I28" s="85"/>
      <c r="J28">
        <f xml:space="preserve"> Fig_futuro_Kaya!J28*10^6</f>
        <v>18341942081.677319</v>
      </c>
      <c r="K28">
        <f xml:space="preserve"> Fig_futuro_Kaya!S28</f>
        <v>14.625025153836715</v>
      </c>
      <c r="L28">
        <f xml:space="preserve"> J28*K28</f>
        <v>268251364314.74695</v>
      </c>
      <c r="M28" s="85"/>
      <c r="N28">
        <f xml:space="preserve"> Fig_futuro_Kaya!K28*10^6</f>
        <v>18369642965.032204</v>
      </c>
      <c r="O28">
        <f xml:space="preserve"> Fig_futuro_Kaya!Q28</f>
        <v>14.669900320106411</v>
      </c>
      <c r="P28">
        <f xml:space="preserve"> N28*O28</f>
        <v>269480831212.9664</v>
      </c>
      <c r="Q28" s="85"/>
      <c r="R28">
        <f xml:space="preserve"> Fig_futuro_Kaya!K28*10^6</f>
        <v>18369642965.032204</v>
      </c>
      <c r="S28">
        <f xml:space="preserve"> Fig_futuro_Kaya!R28</f>
        <v>14.66342688536335</v>
      </c>
      <c r="T28">
        <f xml:space="preserve"> R28*S28</f>
        <v>269361916527.97894</v>
      </c>
      <c r="U28" s="85"/>
      <c r="V28">
        <f xml:space="preserve"> Fig_futuro_Kaya!K28*10^6</f>
        <v>18369642965.032204</v>
      </c>
      <c r="W28">
        <f xml:space="preserve"> Fig_futuro_Kaya!S28</f>
        <v>14.625025153836715</v>
      </c>
      <c r="X28">
        <f xml:space="preserve"> V28*W28</f>
        <v>268656490430.59564</v>
      </c>
      <c r="Y28" s="85"/>
      <c r="Z28">
        <f xml:space="preserve"> Fig_futuro_Kaya!L28*10^6</f>
        <v>18398544465.771515</v>
      </c>
      <c r="AA28">
        <f xml:space="preserve"> Fig_futuro_Kaya!Q28</f>
        <v>14.669900320106411</v>
      </c>
      <c r="AB28">
        <f xml:space="preserve"> Z28*AA28</f>
        <v>269904813347.91357</v>
      </c>
      <c r="AC28" s="85"/>
      <c r="AD28">
        <f xml:space="preserve"> Fig_futuro_Kaya!L28*10^6</f>
        <v>18398544465.771515</v>
      </c>
      <c r="AE28">
        <f xml:space="preserve"> Fig_futuro_Kaya!R28</f>
        <v>14.66342688536335</v>
      </c>
      <c r="AF28">
        <f xml:space="preserve"> AD28*AE28</f>
        <v>269785711570.94711</v>
      </c>
      <c r="AG28" s="86"/>
      <c r="AH28">
        <f xml:space="preserve"> Fig_futuro_Kaya!L28*10^6</f>
        <v>18398544465.771515</v>
      </c>
      <c r="AI28">
        <f>Fig_futuro_Kaya!S28</f>
        <v>14.625025153836715</v>
      </c>
      <c r="AJ28" s="47">
        <f>AH28*AI28</f>
        <v>269079175605.89169</v>
      </c>
    </row>
    <row r="29" spans="1:36" ht="15.75" x14ac:dyDescent="0.25">
      <c r="A29" s="77">
        <v>2025</v>
      </c>
      <c r="B29" s="84">
        <f xml:space="preserve"> Fig_futuro_Kaya!J29*10^6</f>
        <v>18898205993.950886</v>
      </c>
      <c r="C29" s="83">
        <f>Fig_futuro_Kaya!Q29</f>
        <v>14.529069277033388</v>
      </c>
      <c r="D29" s="84">
        <f t="shared" ref="D29:D54" si="1" xml:space="preserve"> B29*C29</f>
        <v>274573344097.76004</v>
      </c>
      <c r="E29" s="85"/>
      <c r="F29">
        <f>Fig_futuro_Kaya!J29*10^6</f>
        <v>18898205993.950886</v>
      </c>
      <c r="G29">
        <f xml:space="preserve"> Fig_futuro_Kaya!R29</f>
        <v>14.514757324738804</v>
      </c>
      <c r="H29">
        <f t="shared" ref="H29:H54" si="2">F29*G29</f>
        <v>274302873875.1214</v>
      </c>
      <c r="I29" s="85"/>
      <c r="J29">
        <f xml:space="preserve"> Fig_futuro_Kaya!J29*10^6</f>
        <v>18898205993.950886</v>
      </c>
      <c r="K29">
        <f xml:space="preserve"> Fig_futuro_Kaya!S29</f>
        <v>14.437953861685534</v>
      </c>
      <c r="L29">
        <f t="shared" ref="L29:L54" si="3" xml:space="preserve"> J29*K29</f>
        <v>272851426209.2919</v>
      </c>
      <c r="M29" s="85"/>
      <c r="N29">
        <f xml:space="preserve"> Fig_futuro_Kaya!K29*10^6</f>
        <v>19091506550.719318</v>
      </c>
      <c r="O29">
        <f xml:space="preserve"> Fig_futuro_Kaya!Q29</f>
        <v>14.529069277033388</v>
      </c>
      <c r="P29">
        <f t="shared" ref="P29:P54" si="4" xml:space="preserve"> N29*O29</f>
        <v>277381821278.33771</v>
      </c>
      <c r="Q29" s="85"/>
      <c r="R29">
        <f xml:space="preserve"> Fig_futuro_Kaya!K29*10^6</f>
        <v>19091506550.719318</v>
      </c>
      <c r="S29">
        <f xml:space="preserve"> Fig_futuro_Kaya!R29</f>
        <v>14.514757324738804</v>
      </c>
      <c r="T29">
        <f t="shared" ref="T29:T54" si="5" xml:space="preserve"> R29*S29</f>
        <v>277108584547.35211</v>
      </c>
      <c r="U29" s="85"/>
      <c r="V29">
        <f xml:space="preserve"> Fig_futuro_Kaya!K29*10^6</f>
        <v>19091506550.719318</v>
      </c>
      <c r="W29">
        <f xml:space="preserve"> Fig_futuro_Kaya!S29</f>
        <v>14.437953861685534</v>
      </c>
      <c r="X29">
        <f t="shared" ref="X29:X54" si="6" xml:space="preserve"> V29*W29</f>
        <v>275642290729.35266</v>
      </c>
      <c r="Y29" s="85"/>
      <c r="Z29">
        <f xml:space="preserve"> Fig_futuro_Kaya!L29*10^6</f>
        <v>19293714857.392803</v>
      </c>
      <c r="AA29">
        <f xml:space="preserve"> Fig_futuro_Kaya!Q29</f>
        <v>14.529069277033388</v>
      </c>
      <c r="AB29">
        <f xml:space="preserve"> Z29*AA29</f>
        <v>280319719774.38837</v>
      </c>
      <c r="AC29" s="85"/>
      <c r="AD29">
        <f xml:space="preserve"> Fig_futuro_Kaya!L29*10^6</f>
        <v>19293714857.392803</v>
      </c>
      <c r="AE29">
        <f xml:space="preserve"> Fig_futuro_Kaya!R29</f>
        <v>14.514757324738804</v>
      </c>
      <c r="AF29">
        <f t="shared" ref="AF29:AF54" si="7" xml:space="preserve"> AD29*AE29</f>
        <v>280043589047.7641</v>
      </c>
      <c r="AG29" s="86"/>
      <c r="AH29">
        <f xml:space="preserve"> Fig_futuro_Kaya!L29*10^6</f>
        <v>19293714857.392803</v>
      </c>
      <c r="AI29">
        <f>Fig_futuro_Kaya!S29</f>
        <v>14.437953861685534</v>
      </c>
      <c r="AJ29" s="47">
        <f t="shared" ref="AJ29:AJ54" si="8">AH29*AI29</f>
        <v>278561764931.55396</v>
      </c>
    </row>
    <row r="30" spans="1:36" ht="15.75" x14ac:dyDescent="0.25">
      <c r="A30" s="77">
        <v>2026</v>
      </c>
      <c r="B30" s="84">
        <f xml:space="preserve"> Fig_futuro_Kaya!J30*10^6</f>
        <v>19471339959.500164</v>
      </c>
      <c r="C30" s="83">
        <f>Fig_futuro_Kaya!Q30</f>
        <v>14.389590211973866</v>
      </c>
      <c r="D30" s="84">
        <f t="shared" si="1"/>
        <v>280184602895.2392</v>
      </c>
      <c r="E30" s="85"/>
      <c r="F30">
        <f>Fig_futuro_Kaya!J30*10^6</f>
        <v>19471339959.500164</v>
      </c>
      <c r="G30">
        <f xml:space="preserve"> Fig_futuro_Kaya!R30</f>
        <v>14.366087764114258</v>
      </c>
      <c r="H30">
        <f t="shared" si="2"/>
        <v>279726978743.08435</v>
      </c>
      <c r="I30" s="85"/>
      <c r="J30">
        <f xml:space="preserve"> Fig_futuro_Kaya!J30*10^6</f>
        <v>19471339959.500164</v>
      </c>
      <c r="K30">
        <f xml:space="preserve"> Fig_futuro_Kaya!S30</f>
        <v>14.250882569534353</v>
      </c>
      <c r="L30">
        <f t="shared" si="3"/>
        <v>277483779234.3186</v>
      </c>
      <c r="M30" s="85"/>
      <c r="N30">
        <f xml:space="preserve"> Fig_futuro_Kaya!K30*10^6</f>
        <v>19841736884.597038</v>
      </c>
      <c r="O30">
        <f xml:space="preserve"> Fig_futuro_Kaya!Q30</f>
        <v>14.389590211973866</v>
      </c>
      <c r="P30">
        <f t="shared" si="4"/>
        <v>285514462863.15839</v>
      </c>
      <c r="Q30" s="85"/>
      <c r="R30">
        <f xml:space="preserve"> Fig_futuro_Kaya!K30*10^6</f>
        <v>19841736884.597038</v>
      </c>
      <c r="S30">
        <f xml:space="preserve"> Fig_futuro_Kaya!R30</f>
        <v>14.366087764114258</v>
      </c>
      <c r="T30">
        <f t="shared" si="5"/>
        <v>285048133476.58411</v>
      </c>
      <c r="U30" s="85"/>
      <c r="V30">
        <f xml:space="preserve"> Fig_futuro_Kaya!K30*10^6</f>
        <v>19841736884.597038</v>
      </c>
      <c r="W30">
        <f xml:space="preserve"> Fig_futuro_Kaya!S30</f>
        <v>14.250882569534353</v>
      </c>
      <c r="X30">
        <f t="shared" si="6"/>
        <v>282762262317.99078</v>
      </c>
      <c r="Y30" s="85"/>
      <c r="Z30">
        <f xml:space="preserve"> Fig_futuro_Kaya!L30*10^6</f>
        <v>20232439239.468391</v>
      </c>
      <c r="AA30">
        <f xml:space="preserve"> Fig_futuro_Kaya!Q30</f>
        <v>14.389590211973866</v>
      </c>
      <c r="AB30">
        <f t="shared" ref="AB30:AB54" si="9" xml:space="preserve"> Z30*AA30</f>
        <v>291136509644.61035</v>
      </c>
      <c r="AC30" s="85"/>
      <c r="AD30">
        <f xml:space="preserve"> Fig_futuro_Kaya!L30*10^6</f>
        <v>20232439239.468391</v>
      </c>
      <c r="AE30">
        <f xml:space="preserve"> Fig_futuro_Kaya!R30</f>
        <v>14.366087764114258</v>
      </c>
      <c r="AF30">
        <f t="shared" si="7"/>
        <v>290660997796.31207</v>
      </c>
      <c r="AG30" s="86"/>
      <c r="AH30">
        <f xml:space="preserve"> Fig_futuro_Kaya!L30*10^6</f>
        <v>20232439239.468391</v>
      </c>
      <c r="AI30">
        <f>Fig_futuro_Kaya!S30</f>
        <v>14.250882569534353</v>
      </c>
      <c r="AJ30" s="47">
        <f t="shared" si="8"/>
        <v>288330115696.90295</v>
      </c>
    </row>
    <row r="31" spans="1:36" ht="15.75" x14ac:dyDescent="0.25">
      <c r="A31" s="77">
        <v>2027</v>
      </c>
      <c r="B31" s="84">
        <f xml:space="preserve"> Fig_futuro_Kaya!J31*10^6</f>
        <v>20061855603.636883</v>
      </c>
      <c r="C31" s="83">
        <f>Fig_futuro_Kaya!Q31</f>
        <v>14.251450145938916</v>
      </c>
      <c r="D31" s="84">
        <f t="shared" si="1"/>
        <v>285910534970.25635</v>
      </c>
      <c r="E31" s="85"/>
      <c r="F31">
        <f>Fig_futuro_Kaya!J31*10^6</f>
        <v>20061855603.636883</v>
      </c>
      <c r="G31">
        <f xml:space="preserve"> Fig_futuro_Kaya!R31</f>
        <v>14.217418203489713</v>
      </c>
      <c r="H31">
        <f t="shared" si="2"/>
        <v>285227791054.92914</v>
      </c>
      <c r="I31" s="85"/>
      <c r="J31">
        <f xml:space="preserve"> Fig_futuro_Kaya!J31*10^6</f>
        <v>20061855603.636883</v>
      </c>
      <c r="K31">
        <f xml:space="preserve"> Fig_futuro_Kaya!S31</f>
        <v>14.063811277383172</v>
      </c>
      <c r="L31">
        <f t="shared" si="3"/>
        <v>282146151083.66119</v>
      </c>
      <c r="M31" s="85"/>
      <c r="N31">
        <f xml:space="preserve"> Fig_futuro_Kaya!K31*10^6</f>
        <v>20621448681.992359</v>
      </c>
      <c r="O31">
        <f xml:space="preserve"> Fig_futuro_Kaya!Q31</f>
        <v>14.251450145938916</v>
      </c>
      <c r="P31">
        <f t="shared" si="4"/>
        <v>293885547828.4519</v>
      </c>
      <c r="Q31" s="85"/>
      <c r="R31">
        <f xml:space="preserve"> Fig_futuro_Kaya!K31*10^6</f>
        <v>20621448681.992359</v>
      </c>
      <c r="S31">
        <f xml:space="preserve"> Fig_futuro_Kaya!R31</f>
        <v>14.217418203489713</v>
      </c>
      <c r="T31">
        <f t="shared" si="5"/>
        <v>293183759873.68713</v>
      </c>
      <c r="U31" s="85"/>
      <c r="V31">
        <f xml:space="preserve"> Fig_futuro_Kaya!K31*10^6</f>
        <v>20621448681.992359</v>
      </c>
      <c r="W31">
        <f xml:space="preserve"> Fig_futuro_Kaya!S31</f>
        <v>14.063811277383172</v>
      </c>
      <c r="X31">
        <f t="shared" si="6"/>
        <v>290016162529.78247</v>
      </c>
      <c r="Y31" s="85"/>
      <c r="Z31">
        <f xml:space="preserve"> Fig_futuro_Kaya!L31*10^6</f>
        <v>21216836705.86272</v>
      </c>
      <c r="AA31">
        <f xml:space="preserve"> Fig_futuro_Kaya!Q31</f>
        <v>14.251450145938916</v>
      </c>
      <c r="AB31">
        <f t="shared" si="9"/>
        <v>302370690568.12939</v>
      </c>
      <c r="AC31" s="85"/>
      <c r="AD31">
        <f xml:space="preserve"> Fig_futuro_Kaya!L31*10^6</f>
        <v>21216836705.86272</v>
      </c>
      <c r="AE31">
        <f xml:space="preserve"> Fig_futuro_Kaya!R31</f>
        <v>14.217418203489713</v>
      </c>
      <c r="AF31">
        <f t="shared" si="7"/>
        <v>301648640402.40137</v>
      </c>
      <c r="AG31" s="86"/>
      <c r="AH31">
        <f xml:space="preserve"> Fig_futuro_Kaya!L31*10^6</f>
        <v>21216836705.86272</v>
      </c>
      <c r="AI31">
        <f>Fig_futuro_Kaya!S31</f>
        <v>14.063811277383172</v>
      </c>
      <c r="AJ31" s="47">
        <f t="shared" si="8"/>
        <v>298389587334.30933</v>
      </c>
    </row>
    <row r="32" spans="1:36" ht="15.75" x14ac:dyDescent="0.25">
      <c r="A32" s="77">
        <v>2028</v>
      </c>
      <c r="B32" s="84">
        <f xml:space="preserve"> Fig_futuro_Kaya!J32*10^6</f>
        <v>20670280067.952164</v>
      </c>
      <c r="C32" s="83">
        <f>Fig_futuro_Kaya!Q32</f>
        <v>14.114636224537902</v>
      </c>
      <c r="D32" s="84">
        <f t="shared" si="1"/>
        <v>291753483818.46136</v>
      </c>
      <c r="E32" s="85"/>
      <c r="F32">
        <f>Fig_futuro_Kaya!J32*10^6</f>
        <v>20670280067.952164</v>
      </c>
      <c r="G32">
        <f xml:space="preserve"> Fig_futuro_Kaya!R32</f>
        <v>14.068748642865167</v>
      </c>
      <c r="H32">
        <f t="shared" si="2"/>
        <v>290804974653.6449</v>
      </c>
      <c r="I32" s="85"/>
      <c r="J32">
        <f xml:space="preserve"> Fig_futuro_Kaya!J32*10^6</f>
        <v>20670280067.952164</v>
      </c>
      <c r="K32">
        <f xml:space="preserve"> Fig_futuro_Kaya!S32</f>
        <v>13.876739985231991</v>
      </c>
      <c r="L32">
        <f t="shared" si="3"/>
        <v>286836101924.89563</v>
      </c>
      <c r="M32" s="85"/>
      <c r="N32">
        <f xml:space="preserve"> Fig_futuro_Kaya!K32*10^6</f>
        <v>21431800462.698277</v>
      </c>
      <c r="O32">
        <f xml:space="preserve"> Fig_futuro_Kaya!Q32</f>
        <v>14.114636224537902</v>
      </c>
      <c r="P32">
        <f t="shared" si="4"/>
        <v>302502067167.86926</v>
      </c>
      <c r="Q32" s="85"/>
      <c r="R32">
        <f xml:space="preserve"> Fig_futuro_Kaya!K32*10^6</f>
        <v>21431800462.698277</v>
      </c>
      <c r="S32">
        <f xml:space="preserve"> Fig_futuro_Kaya!R32</f>
        <v>14.068748642865167</v>
      </c>
      <c r="T32">
        <f t="shared" si="5"/>
        <v>301518613673.74341</v>
      </c>
      <c r="U32" s="85"/>
      <c r="V32">
        <f xml:space="preserve"> Fig_futuro_Kaya!K32*10^6</f>
        <v>21431800462.698277</v>
      </c>
      <c r="W32">
        <f xml:space="preserve"> Fig_futuro_Kaya!S32</f>
        <v>13.876739985231991</v>
      </c>
      <c r="X32">
        <f t="shared" si="6"/>
        <v>297403522436.23865</v>
      </c>
      <c r="Y32" s="85"/>
      <c r="Z32">
        <f xml:space="preserve"> Fig_futuro_Kaya!L32*10^6</f>
        <v>22249129453.709515</v>
      </c>
      <c r="AA32">
        <f xml:space="preserve"> Fig_futuro_Kaya!Q32</f>
        <v>14.114636224537902</v>
      </c>
      <c r="AB32">
        <f t="shared" si="9"/>
        <v>314038368551.76147</v>
      </c>
      <c r="AC32" s="85"/>
      <c r="AD32">
        <f xml:space="preserve"> Fig_futuro_Kaya!L32*10^6</f>
        <v>22249129453.709515</v>
      </c>
      <c r="AE32">
        <f xml:space="preserve"> Fig_futuro_Kaya!R32</f>
        <v>14.068748642865167</v>
      </c>
      <c r="AF32">
        <f t="shared" si="7"/>
        <v>313017409806.80713</v>
      </c>
      <c r="AG32" s="86"/>
      <c r="AH32">
        <f xml:space="preserve"> Fig_futuro_Kaya!L32*10^6</f>
        <v>22249129453.709515</v>
      </c>
      <c r="AI32">
        <f>Fig_futuro_Kaya!S32</f>
        <v>13.876739985231991</v>
      </c>
      <c r="AJ32" s="47">
        <f t="shared" si="8"/>
        <v>308745384326.89362</v>
      </c>
    </row>
    <row r="33" spans="1:36" ht="15.75" x14ac:dyDescent="0.25">
      <c r="A33" s="77">
        <v>2029</v>
      </c>
      <c r="B33" s="84">
        <f xml:space="preserve"> Fig_futuro_Kaya!J33*10^6</f>
        <v>21297156480.885303</v>
      </c>
      <c r="C33" s="83">
        <f>Fig_futuro_Kaya!Q33</f>
        <v>13.979135716782338</v>
      </c>
      <c r="D33" s="84">
        <f t="shared" si="1"/>
        <v>297715840827.84619</v>
      </c>
      <c r="E33" s="85"/>
      <c r="F33">
        <f>Fig_futuro_Kaya!J33*10^6</f>
        <v>21297156480.885303</v>
      </c>
      <c r="G33">
        <f xml:space="preserve"> Fig_futuro_Kaya!R33</f>
        <v>13.920079082240621</v>
      </c>
      <c r="H33">
        <f t="shared" si="2"/>
        <v>296458102440.77679</v>
      </c>
      <c r="I33" s="85"/>
      <c r="J33">
        <f xml:space="preserve"> Fig_futuro_Kaya!J33*10^6</f>
        <v>21297156480.885303</v>
      </c>
      <c r="K33">
        <f xml:space="preserve"> Fig_futuro_Kaya!S33</f>
        <v>13.68966869308081</v>
      </c>
      <c r="L33">
        <f t="shared" si="3"/>
        <v>291551016328.01862</v>
      </c>
      <c r="M33" s="85"/>
      <c r="N33">
        <f xml:space="preserve"> Fig_futuro_Kaya!K33*10^6</f>
        <v>22273996272.338337</v>
      </c>
      <c r="O33">
        <f xml:space="preserve"> Fig_futuro_Kaya!Q33</f>
        <v>13.979135716782338</v>
      </c>
      <c r="P33">
        <f t="shared" si="4"/>
        <v>311371216846.12152</v>
      </c>
      <c r="Q33" s="85"/>
      <c r="R33">
        <f xml:space="preserve"> Fig_futuro_Kaya!K33*10^6</f>
        <v>22273996272.338337</v>
      </c>
      <c r="S33">
        <f xml:space="preserve"> Fig_futuro_Kaya!R33</f>
        <v>13.920079082240621</v>
      </c>
      <c r="T33">
        <f t="shared" si="5"/>
        <v>310055789588.48242</v>
      </c>
      <c r="U33" s="85"/>
      <c r="V33">
        <f xml:space="preserve"> Fig_futuro_Kaya!K33*10^6</f>
        <v>22273996272.338337</v>
      </c>
      <c r="W33">
        <f xml:space="preserve"> Fig_futuro_Kaya!S33</f>
        <v>13.68966869308081</v>
      </c>
      <c r="X33">
        <f t="shared" si="6"/>
        <v>304923629439.22882</v>
      </c>
      <c r="Y33" s="85"/>
      <c r="Z33">
        <f xml:space="preserve"> Fig_futuro_Kaya!L33*10^6</f>
        <v>23331647799.84079</v>
      </c>
      <c r="AA33">
        <f xml:space="preserve"> Fig_futuro_Kaya!Q33</f>
        <v>13.979135716782338</v>
      </c>
      <c r="AB33">
        <f t="shared" si="9"/>
        <v>326156271090.14044</v>
      </c>
      <c r="AC33" s="85"/>
      <c r="AD33">
        <f xml:space="preserve"> Fig_futuro_Kaya!L33*10^6</f>
        <v>23331647799.84079</v>
      </c>
      <c r="AE33">
        <f xml:space="preserve"> Fig_futuro_Kaya!R33</f>
        <v>13.920079082240621</v>
      </c>
      <c r="AF33">
        <f t="shared" si="7"/>
        <v>324778382492.76917</v>
      </c>
      <c r="AG33" s="86"/>
      <c r="AH33">
        <f xml:space="preserve"> Fig_futuro_Kaya!L33*10^6</f>
        <v>23331647799.84079</v>
      </c>
      <c r="AI33">
        <f>Fig_futuro_Kaya!S33</f>
        <v>13.68966869308081</v>
      </c>
      <c r="AJ33" s="47">
        <f t="shared" si="8"/>
        <v>319402528443.4682</v>
      </c>
    </row>
    <row r="34" spans="1:36" ht="15.75" x14ac:dyDescent="0.25">
      <c r="A34" s="77">
        <v>2030</v>
      </c>
      <c r="B34" s="84">
        <f xml:space="preserve"> Fig_futuro_Kaya!J34*10^6</f>
        <v>21943044442.563797</v>
      </c>
      <c r="C34" s="83">
        <f>Fig_futuro_Kaya!Q34</f>
        <v>13.844936013901227</v>
      </c>
      <c r="D34" s="84">
        <f t="shared" si="1"/>
        <v>303800046257.48669</v>
      </c>
      <c r="E34" s="85"/>
      <c r="F34">
        <f>Fig_futuro_Kaya!J34*10^6</f>
        <v>21943044442.563797</v>
      </c>
      <c r="G34">
        <f xml:space="preserve"> Fig_futuro_Kaya!R34</f>
        <v>13.771409521616075</v>
      </c>
      <c r="H34">
        <f t="shared" si="2"/>
        <v>302186651169.56775</v>
      </c>
      <c r="I34" s="85"/>
      <c r="J34">
        <f xml:space="preserve"> Fig_futuro_Kaya!J34*10^6</f>
        <v>21943044442.563797</v>
      </c>
      <c r="K34">
        <f xml:space="preserve"> Fig_futuro_Kaya!S34</f>
        <v>13.502597400929629</v>
      </c>
      <c r="L34">
        <f t="shared" si="3"/>
        <v>296288094858.64526</v>
      </c>
      <c r="M34" s="85"/>
      <c r="N34">
        <f xml:space="preserve"> Fig_futuro_Kaya!K34*10^6</f>
        <v>23149287471.374622</v>
      </c>
      <c r="O34">
        <f xml:space="preserve"> Fig_futuro_Kaya!Q34</f>
        <v>13.844936013901227</v>
      </c>
      <c r="P34">
        <f t="shared" si="4"/>
        <v>320500403808.58698</v>
      </c>
      <c r="Q34" s="85"/>
      <c r="R34">
        <f xml:space="preserve"> Fig_futuro_Kaya!K34*10^6</f>
        <v>23149287471.374622</v>
      </c>
      <c r="S34">
        <f xml:space="preserve"> Fig_futuro_Kaya!R34</f>
        <v>13.771409521616075</v>
      </c>
      <c r="T34">
        <f t="shared" si="5"/>
        <v>318798317901.9162</v>
      </c>
      <c r="U34" s="85"/>
      <c r="V34">
        <f xml:space="preserve"> Fig_futuro_Kaya!K34*10^6</f>
        <v>23149287471.374622</v>
      </c>
      <c r="W34">
        <f xml:space="preserve"> Fig_futuro_Kaya!S34</f>
        <v>13.502597400929629</v>
      </c>
      <c r="X34">
        <f t="shared" si="6"/>
        <v>312575508844.35577</v>
      </c>
      <c r="Y34" s="85"/>
      <c r="Z34">
        <f xml:space="preserve"> Fig_futuro_Kaya!L34*10^6</f>
        <v>24466835441.287598</v>
      </c>
      <c r="AA34">
        <f xml:space="preserve"> Fig_futuro_Kaya!Q34</f>
        <v>13.844936013901227</v>
      </c>
      <c r="AB34">
        <f t="shared" si="9"/>
        <v>338741771147.27759</v>
      </c>
      <c r="AC34" s="85"/>
      <c r="AD34">
        <f xml:space="preserve"> Fig_futuro_Kaya!L34*10^6</f>
        <v>24466835441.287598</v>
      </c>
      <c r="AE34">
        <f xml:space="preserve"> Fig_futuro_Kaya!R34</f>
        <v>13.771409521616075</v>
      </c>
      <c r="AF34">
        <f t="shared" si="7"/>
        <v>336942810559.96167</v>
      </c>
      <c r="AG34" s="86"/>
      <c r="AH34">
        <f xml:space="preserve"> Fig_futuro_Kaya!L34*10^6</f>
        <v>24466835441.287598</v>
      </c>
      <c r="AI34">
        <f>Fig_futuro_Kaya!S34</f>
        <v>13.502597400929629</v>
      </c>
      <c r="AJ34" s="47">
        <f t="shared" si="8"/>
        <v>330365828638.50287</v>
      </c>
    </row>
    <row r="35" spans="1:36" ht="15.75" x14ac:dyDescent="0.25">
      <c r="A35" s="77">
        <v>2031</v>
      </c>
      <c r="B35" s="84">
        <f xml:space="preserve"> Fig_futuro_Kaya!J35*10^6</f>
        <v>22608520524.347225</v>
      </c>
      <c r="C35" s="83">
        <f>Fig_futuro_Kaya!Q35</f>
        <v>13.712024628167775</v>
      </c>
      <c r="D35" s="84">
        <f t="shared" si="1"/>
        <v>310008590236.28577</v>
      </c>
      <c r="E35" s="85"/>
      <c r="F35">
        <f>Fig_futuro_Kaya!J35*10^6</f>
        <v>22608520524.347225</v>
      </c>
      <c r="G35">
        <f xml:space="preserve"> Fig_futuro_Kaya!R35</f>
        <v>13.622739960991529</v>
      </c>
      <c r="H35">
        <f t="shared" si="2"/>
        <v>307989996005.92212</v>
      </c>
      <c r="I35" s="85"/>
      <c r="J35">
        <f xml:space="preserve"> Fig_futuro_Kaya!J35*10^6</f>
        <v>22608520524.347225</v>
      </c>
      <c r="K35">
        <f xml:space="preserve"> Fig_futuro_Kaya!S35</f>
        <v>13.315526108778448</v>
      </c>
      <c r="L35">
        <f t="shared" si="3"/>
        <v>301044345322.79889</v>
      </c>
      <c r="M35" s="85"/>
      <c r="N35">
        <f xml:space="preserve"> Fig_futuro_Kaya!K35*10^6</f>
        <v>24058974594.417683</v>
      </c>
      <c r="O35">
        <f xml:space="preserve"> Fig_futuro_Kaya!Q35</f>
        <v>13.712024628167775</v>
      </c>
      <c r="P35">
        <f t="shared" si="4"/>
        <v>329897252167.1181</v>
      </c>
      <c r="Q35" s="85"/>
      <c r="R35">
        <f xml:space="preserve"> Fig_futuro_Kaya!K35*10^6</f>
        <v>24058974594.417683</v>
      </c>
      <c r="S35">
        <f xml:space="preserve"> Fig_futuro_Kaya!R35</f>
        <v>13.622739960991529</v>
      </c>
      <c r="T35">
        <f t="shared" si="5"/>
        <v>327749154627.85376</v>
      </c>
      <c r="U35" s="85"/>
      <c r="V35">
        <f xml:space="preserve"> Fig_futuro_Kaya!K35*10^6</f>
        <v>24058974594.417683</v>
      </c>
      <c r="W35">
        <f xml:space="preserve"> Fig_futuro_Kaya!S35</f>
        <v>13.315526108778448</v>
      </c>
      <c r="X35">
        <f t="shared" si="6"/>
        <v>320357904362.40601</v>
      </c>
      <c r="Y35" s="85"/>
      <c r="Z35">
        <f xml:space="preserve"> Fig_futuro_Kaya!L35*10^6</f>
        <v>25657254971.726929</v>
      </c>
      <c r="AA35">
        <f xml:space="preserve"> Fig_futuro_Kaya!Q35</f>
        <v>13.712024628167775</v>
      </c>
      <c r="AB35">
        <f t="shared" si="9"/>
        <v>351812912063.49976</v>
      </c>
      <c r="AC35" s="85"/>
      <c r="AD35">
        <f xml:space="preserve"> Fig_futuro_Kaya!L35*10^6</f>
        <v>25657254971.726929</v>
      </c>
      <c r="AE35">
        <f xml:space="preserve"> Fig_futuro_Kaya!R35</f>
        <v>13.622739960991529</v>
      </c>
      <c r="AF35">
        <f t="shared" si="7"/>
        <v>349522112592.69299</v>
      </c>
      <c r="AG35" s="86"/>
      <c r="AH35">
        <f xml:space="preserve"> Fig_futuro_Kaya!L35*10^6</f>
        <v>25657254971.726929</v>
      </c>
      <c r="AI35">
        <f>Fig_futuro_Kaya!S35</f>
        <v>13.315526108778448</v>
      </c>
      <c r="AJ35" s="47">
        <f t="shared" si="8"/>
        <v>341639848455.61554</v>
      </c>
    </row>
    <row r="36" spans="1:36" ht="15.75" x14ac:dyDescent="0.25">
      <c r="A36" s="77">
        <v>2032</v>
      </c>
      <c r="B36" s="84">
        <f xml:space="preserve"> Fig_futuro_Kaya!J36*10^6</f>
        <v>23294178783.521084</v>
      </c>
      <c r="C36" s="83">
        <f>Fig_futuro_Kaya!Q36</f>
        <v>13.580389191737364</v>
      </c>
      <c r="D36" s="84">
        <f t="shared" si="1"/>
        <v>316344013782.12756</v>
      </c>
      <c r="E36" s="85"/>
      <c r="F36">
        <f>Fig_futuro_Kaya!J36*10^6</f>
        <v>23294178783.521084</v>
      </c>
      <c r="G36">
        <f xml:space="preserve"> Fig_futuro_Kaya!R36</f>
        <v>13.474070400366983</v>
      </c>
      <c r="H36">
        <f t="shared" si="2"/>
        <v>313867404847.89801</v>
      </c>
      <c r="I36" s="85"/>
      <c r="J36">
        <f xml:space="preserve"> Fig_futuro_Kaya!J36*10^6</f>
        <v>23294178783.521084</v>
      </c>
      <c r="K36">
        <f xml:space="preserve"> Fig_futuro_Kaya!S36</f>
        <v>13.128454816627267</v>
      </c>
      <c r="L36">
        <f t="shared" si="3"/>
        <v>305816573649.89404</v>
      </c>
      <c r="M36" s="85"/>
      <c r="N36">
        <f xml:space="preserve"> Fig_futuro_Kaya!K36*10^6</f>
        <v>25004409282.600864</v>
      </c>
      <c r="O36">
        <f xml:space="preserve"> Fig_futuro_Kaya!Q36</f>
        <v>13.580389191737364</v>
      </c>
      <c r="P36">
        <f t="shared" si="4"/>
        <v>339569609567.21021</v>
      </c>
      <c r="Q36" s="85"/>
      <c r="R36">
        <f xml:space="preserve"> Fig_futuro_Kaya!K36*10^6</f>
        <v>25004409282.600864</v>
      </c>
      <c r="S36">
        <f xml:space="preserve"> Fig_futuro_Kaya!R36</f>
        <v>13.474070400366983</v>
      </c>
      <c r="T36">
        <f t="shared" si="5"/>
        <v>336911170993.35376</v>
      </c>
      <c r="U36" s="85"/>
      <c r="V36">
        <f xml:space="preserve"> Fig_futuro_Kaya!K36*10^6</f>
        <v>25004409282.600864</v>
      </c>
      <c r="W36">
        <f xml:space="preserve"> Fig_futuro_Kaya!S36</f>
        <v>13.128454816627267</v>
      </c>
      <c r="X36">
        <f t="shared" si="6"/>
        <v>328269257483.08087</v>
      </c>
      <c r="Y36" s="85"/>
      <c r="Z36">
        <f xml:space="preserve"> Fig_futuro_Kaya!L36*10^6</f>
        <v>26905593666.328388</v>
      </c>
      <c r="AA36">
        <f xml:space="preserve"> Fig_futuro_Kaya!Q36</f>
        <v>13.580389191737364</v>
      </c>
      <c r="AB36">
        <f t="shared" si="9"/>
        <v>365388433423.48334</v>
      </c>
      <c r="AC36" s="85"/>
      <c r="AD36">
        <f xml:space="preserve"> Fig_futuro_Kaya!L36*10^6</f>
        <v>26905593666.328388</v>
      </c>
      <c r="AE36">
        <f xml:space="preserve"> Fig_futuro_Kaya!R36</f>
        <v>13.474070400366983</v>
      </c>
      <c r="AF36">
        <f t="shared" si="7"/>
        <v>362527863223.77673</v>
      </c>
      <c r="AG36" s="86"/>
      <c r="AH36">
        <f xml:space="preserve"> Fig_futuro_Kaya!L36*10^6</f>
        <v>26905593666.328388</v>
      </c>
      <c r="AI36">
        <f>Fig_futuro_Kaya!S36</f>
        <v>13.128454816627267</v>
      </c>
      <c r="AJ36" s="47">
        <f t="shared" si="8"/>
        <v>353228870762.92499</v>
      </c>
    </row>
    <row r="37" spans="1:36" ht="15.75" x14ac:dyDescent="0.25">
      <c r="A37" s="77">
        <v>2033</v>
      </c>
      <c r="B37" s="84">
        <f xml:space="preserve"> Fig_futuro_Kaya!J37*10^6</f>
        <v>24000631293.599907</v>
      </c>
      <c r="C37" s="83">
        <f>Fig_futuro_Kaya!Q37</f>
        <v>13.450017455496685</v>
      </c>
      <c r="D37" s="84">
        <f t="shared" si="1"/>
        <v>322808909841.8587</v>
      </c>
      <c r="E37" s="85"/>
      <c r="F37">
        <f>Fig_futuro_Kaya!J37*10^6</f>
        <v>24000631293.599907</v>
      </c>
      <c r="G37">
        <f xml:space="preserve"> Fig_futuro_Kaya!R37</f>
        <v>13.325400839742437</v>
      </c>
      <c r="H37">
        <f t="shared" si="2"/>
        <v>319818032394.08484</v>
      </c>
      <c r="I37" s="85"/>
      <c r="J37">
        <f xml:space="preserve"> Fig_futuro_Kaya!J37*10^6</f>
        <v>24000631293.599907</v>
      </c>
      <c r="K37">
        <f xml:space="preserve"> Fig_futuro_Kaya!S37</f>
        <v>12.941383524476086</v>
      </c>
      <c r="L37">
        <f t="shared" si="3"/>
        <v>310601374400.01898</v>
      </c>
      <c r="M37" s="85"/>
      <c r="N37">
        <f xml:space="preserve"> Fig_futuro_Kaya!K37*10^6</f>
        <v>25986996291.890385</v>
      </c>
      <c r="O37">
        <f xml:space="preserve"> Fig_futuro_Kaya!Q37</f>
        <v>13.450017455496685</v>
      </c>
      <c r="P37">
        <f t="shared" si="4"/>
        <v>349525553741.85327</v>
      </c>
      <c r="Q37" s="85"/>
      <c r="R37">
        <f xml:space="preserve"> Fig_futuro_Kaya!K37*10^6</f>
        <v>25986996291.890385</v>
      </c>
      <c r="S37">
        <f xml:space="preserve"> Fig_futuro_Kaya!R37</f>
        <v>13.325400839742437</v>
      </c>
      <c r="T37">
        <f t="shared" si="5"/>
        <v>346287142210.33972</v>
      </c>
      <c r="U37" s="85"/>
      <c r="V37">
        <f xml:space="preserve"> Fig_futuro_Kaya!K37*10^6</f>
        <v>25986996291.890385</v>
      </c>
      <c r="W37">
        <f xml:space="preserve"> Fig_futuro_Kaya!S37</f>
        <v>12.941383524476086</v>
      </c>
      <c r="X37">
        <f t="shared" si="6"/>
        <v>336307685662.49133</v>
      </c>
      <c r="Y37" s="85"/>
      <c r="Z37">
        <f xml:space="preserve"> Fig_futuro_Kaya!L37*10^6</f>
        <v>28214669548.059132</v>
      </c>
      <c r="AA37">
        <f xml:space="preserve"> Fig_futuro_Kaya!Q37</f>
        <v>13.450017455496685</v>
      </c>
      <c r="AB37">
        <f t="shared" si="9"/>
        <v>379487797922.46606</v>
      </c>
      <c r="AC37" s="85"/>
      <c r="AD37">
        <f xml:space="preserve"> Fig_futuro_Kaya!L37*10^6</f>
        <v>28214669548.059132</v>
      </c>
      <c r="AE37">
        <f xml:space="preserve"> Fig_futuro_Kaya!R37</f>
        <v>13.325400839742437</v>
      </c>
      <c r="AF37">
        <f t="shared" si="7"/>
        <v>375971781288.76251</v>
      </c>
      <c r="AG37" s="86"/>
      <c r="AH37">
        <f xml:space="preserve"> Fig_futuro_Kaya!L37*10^6</f>
        <v>28214669548.059132</v>
      </c>
      <c r="AI37">
        <f>Fig_futuro_Kaya!S37</f>
        <v>12.941383524476086</v>
      </c>
      <c r="AJ37" s="47">
        <f t="shared" si="8"/>
        <v>365136859637.78955</v>
      </c>
    </row>
    <row r="38" spans="1:36" ht="15.75" x14ac:dyDescent="0.25">
      <c r="A38" s="77">
        <v>2034</v>
      </c>
      <c r="B38" s="84">
        <f xml:space="preserve"> Fig_futuro_Kaya!J38*10^6</f>
        <v>24728508690.713154</v>
      </c>
      <c r="C38" s="83">
        <f>Fig_futuro_Kaya!Q38</f>
        <v>13.320897287923916</v>
      </c>
      <c r="D38" s="84">
        <f t="shared" si="1"/>
        <v>329405924352.52386</v>
      </c>
      <c r="E38" s="85"/>
      <c r="F38">
        <f>Fig_futuro_Kaya!J38*10^6</f>
        <v>24728508690.713154</v>
      </c>
      <c r="G38">
        <f xml:space="preserve"> Fig_futuro_Kaya!R38</f>
        <v>13.176731279117892</v>
      </c>
      <c r="H38">
        <f t="shared" si="2"/>
        <v>325840913950.85864</v>
      </c>
      <c r="I38" s="85"/>
      <c r="J38">
        <f xml:space="preserve"> Fig_futuro_Kaya!J38*10^6</f>
        <v>24728508690.713154</v>
      </c>
      <c r="K38">
        <f xml:space="preserve"> Fig_futuro_Kaya!S38</f>
        <v>12.754312232324905</v>
      </c>
      <c r="L38">
        <f t="shared" si="3"/>
        <v>315395120881.11548</v>
      </c>
      <c r="M38" s="85"/>
      <c r="N38">
        <f xml:space="preserve"> Fig_futuro_Kaya!K38*10^6</f>
        <v>27008195580.314812</v>
      </c>
      <c r="O38">
        <f xml:space="preserve"> Fig_futuro_Kaya!Q38</f>
        <v>13.320897287923916</v>
      </c>
      <c r="P38">
        <f t="shared" si="4"/>
        <v>359773399257.5343</v>
      </c>
      <c r="Q38" s="85"/>
      <c r="R38">
        <f xml:space="preserve"> Fig_futuro_Kaya!K38*10^6</f>
        <v>27008195580.314812</v>
      </c>
      <c r="S38">
        <f xml:space="preserve"> Fig_futuro_Kaya!R38</f>
        <v>13.176731279117892</v>
      </c>
      <c r="T38">
        <f t="shared" si="5"/>
        <v>355879735495.66779</v>
      </c>
      <c r="U38" s="85"/>
      <c r="V38">
        <f xml:space="preserve"> Fig_futuro_Kaya!K38*10^6</f>
        <v>27008195580.314812</v>
      </c>
      <c r="W38">
        <f xml:space="preserve"> Fig_futuro_Kaya!S38</f>
        <v>12.754312232324905</v>
      </c>
      <c r="X38">
        <f t="shared" si="6"/>
        <v>344470959263.03265</v>
      </c>
      <c r="Y38" s="85"/>
      <c r="Z38">
        <f xml:space="preserve"> Fig_futuro_Kaya!L38*10^6</f>
        <v>29587437749.140957</v>
      </c>
      <c r="AA38">
        <f xml:space="preserve"> Fig_futuro_Kaya!Q38</f>
        <v>13.320897287923916</v>
      </c>
      <c r="AB38">
        <f t="shared" si="9"/>
        <v>394131219269.14948</v>
      </c>
      <c r="AC38" s="85"/>
      <c r="AD38">
        <f xml:space="preserve"> Fig_futuro_Kaya!L38*10^6</f>
        <v>29587437749.140957</v>
      </c>
      <c r="AE38">
        <f xml:space="preserve"> Fig_futuro_Kaya!R38</f>
        <v>13.176731279117892</v>
      </c>
      <c r="AF38">
        <f t="shared" si="7"/>
        <v>389865716458.05914</v>
      </c>
      <c r="AG38" s="86"/>
      <c r="AH38">
        <f xml:space="preserve"> Fig_futuro_Kaya!L38*10^6</f>
        <v>29587437749.140957</v>
      </c>
      <c r="AI38">
        <f>Fig_futuro_Kaya!S38</f>
        <v>12.754312232324905</v>
      </c>
      <c r="AJ38" s="47">
        <f t="shared" si="8"/>
        <v>377367419207.02014</v>
      </c>
    </row>
    <row r="39" spans="1:36" ht="15.75" x14ac:dyDescent="0.25">
      <c r="A39" s="77">
        <v>2035</v>
      </c>
      <c r="B39" s="84">
        <f xml:space="preserve"> Fig_futuro_Kaya!J39*10^6</f>
        <v>25478460736.561562</v>
      </c>
      <c r="C39" s="83">
        <f>Fig_futuro_Kaya!Q39</f>
        <v>13.193016673959846</v>
      </c>
      <c r="D39" s="84">
        <f t="shared" si="1"/>
        <v>336137757324.28796</v>
      </c>
      <c r="E39" s="85"/>
      <c r="F39">
        <f>Fig_futuro_Kaya!J39*10^6</f>
        <v>25478460736.561562</v>
      </c>
      <c r="G39">
        <f xml:space="preserve"> Fig_futuro_Kaya!R39</f>
        <v>13.028061718493346</v>
      </c>
      <c r="H39">
        <f t="shared" si="2"/>
        <v>331934958968.13348</v>
      </c>
      <c r="I39" s="85"/>
      <c r="J39">
        <f xml:space="preserve"> Fig_futuro_Kaya!J39*10^6</f>
        <v>25478460736.561562</v>
      </c>
      <c r="K39">
        <f xml:space="preserve"> Fig_futuro_Kaya!S39</f>
        <v>12.567240940173724</v>
      </c>
      <c r="L39">
        <f t="shared" si="3"/>
        <v>320193954861.12524</v>
      </c>
      <c r="M39" s="85"/>
      <c r="N39">
        <f xml:space="preserve"> Fig_futuro_Kaya!K39*10^6</f>
        <v>28069524477.215931</v>
      </c>
      <c r="O39">
        <f xml:space="preserve"> Fig_futuro_Kaya!Q39</f>
        <v>13.193016673959846</v>
      </c>
      <c r="P39">
        <f t="shared" si="4"/>
        <v>370321704458.03381</v>
      </c>
      <c r="Q39" s="85"/>
      <c r="R39">
        <f xml:space="preserve"> Fig_futuro_Kaya!K39*10^6</f>
        <v>28069524477.215931</v>
      </c>
      <c r="S39">
        <f xml:space="preserve"> Fig_futuro_Kaya!R39</f>
        <v>13.028061718493346</v>
      </c>
      <c r="T39">
        <f t="shared" si="5"/>
        <v>365691497297.92883</v>
      </c>
      <c r="U39" s="85"/>
      <c r="V39">
        <f xml:space="preserve"> Fig_futuro_Kaya!K39*10^6</f>
        <v>28069524477.215931</v>
      </c>
      <c r="W39">
        <f xml:space="preserve"> Fig_futuro_Kaya!S39</f>
        <v>12.567240940173724</v>
      </c>
      <c r="X39">
        <f t="shared" si="6"/>
        <v>352756477181.27649</v>
      </c>
      <c r="Y39" s="85"/>
      <c r="Z39">
        <f xml:space="preserve"> Fig_futuro_Kaya!L39*10^6</f>
        <v>31026997182.021244</v>
      </c>
      <c r="AA39">
        <f xml:space="preserve"> Fig_futuro_Kaya!Q39</f>
        <v>13.193016673959846</v>
      </c>
      <c r="AB39">
        <f t="shared" si="9"/>
        <v>409339691165.31146</v>
      </c>
      <c r="AC39" s="85"/>
      <c r="AD39">
        <f xml:space="preserve"> Fig_futuro_Kaya!L39*10^6</f>
        <v>31026997182.021244</v>
      </c>
      <c r="AE39">
        <f xml:space="preserve"> Fig_futuro_Kaya!R39</f>
        <v>13.028061718493346</v>
      </c>
      <c r="AF39">
        <f t="shared" si="7"/>
        <v>404221634226.89191</v>
      </c>
      <c r="AG39" s="86"/>
      <c r="AH39">
        <f xml:space="preserve"> Fig_futuro_Kaya!L39*10^6</f>
        <v>31026997182.021244</v>
      </c>
      <c r="AI39">
        <f>Fig_futuro_Kaya!S39</f>
        <v>12.567240940173724</v>
      </c>
      <c r="AJ39" s="47">
        <f t="shared" si="8"/>
        <v>389923749236.55212</v>
      </c>
    </row>
    <row r="40" spans="1:36" ht="15.75" x14ac:dyDescent="0.25">
      <c r="A40" s="77">
        <v>2036</v>
      </c>
      <c r="B40" s="84">
        <f xml:space="preserve"> Fig_futuro_Kaya!J40*10^6</f>
        <v>26251156898.446514</v>
      </c>
      <c r="C40" s="83">
        <f>Fig_futuro_Kaya!Q40</f>
        <v>13.066363713889832</v>
      </c>
      <c r="D40" s="84">
        <f t="shared" si="1"/>
        <v>343007163945.4903</v>
      </c>
      <c r="E40" s="85"/>
      <c r="F40">
        <f>Fig_futuro_Kaya!J40*10^6</f>
        <v>26251156898.446514</v>
      </c>
      <c r="G40">
        <f xml:space="preserve"> Fig_futuro_Kaya!R40</f>
        <v>12.8793921578688</v>
      </c>
      <c r="H40">
        <f t="shared" si="2"/>
        <v>338098944292.83551</v>
      </c>
      <c r="I40" s="85"/>
      <c r="J40">
        <f xml:space="preserve"> Fig_futuro_Kaya!J40*10^6</f>
        <v>26251156898.446514</v>
      </c>
      <c r="K40">
        <f xml:space="preserve"> Fig_futuro_Kaya!S40</f>
        <v>12.380169648022543</v>
      </c>
      <c r="L40">
        <f t="shared" si="3"/>
        <v>324993775859.62512</v>
      </c>
      <c r="M40" s="85"/>
      <c r="N40">
        <f xml:space="preserve"> Fig_futuro_Kaya!K40*10^6</f>
        <v>29172559937.743118</v>
      </c>
      <c r="O40">
        <f xml:space="preserve"> Fig_futuro_Kaya!Q40</f>
        <v>13.066363713889832</v>
      </c>
      <c r="P40">
        <f t="shared" si="4"/>
        <v>381179278611.80286</v>
      </c>
      <c r="Q40" s="85"/>
      <c r="R40">
        <f xml:space="preserve"> Fig_futuro_Kaya!K40*10^6</f>
        <v>29172559937.743118</v>
      </c>
      <c r="S40">
        <f xml:space="preserve"> Fig_futuro_Kaya!R40</f>
        <v>12.8793921578688</v>
      </c>
      <c r="T40">
        <f t="shared" si="5"/>
        <v>375724839687.12622</v>
      </c>
      <c r="U40" s="85"/>
      <c r="V40">
        <f xml:space="preserve"> Fig_futuro_Kaya!K40*10^6</f>
        <v>29172559937.743118</v>
      </c>
      <c r="W40">
        <f xml:space="preserve"> Fig_futuro_Kaya!S40</f>
        <v>12.380169648022543</v>
      </c>
      <c r="X40">
        <f t="shared" si="6"/>
        <v>361161241096.36572</v>
      </c>
      <c r="Y40" s="85"/>
      <c r="Z40">
        <f xml:space="preserve"> Fig_futuro_Kaya!L40*10^6</f>
        <v>32536597534.915134</v>
      </c>
      <c r="AA40">
        <f xml:space="preserve"> Fig_futuro_Kaya!Q40</f>
        <v>13.066363713889832</v>
      </c>
      <c r="AB40">
        <f t="shared" si="9"/>
        <v>425135017403.65247</v>
      </c>
      <c r="AC40" s="85"/>
      <c r="AD40">
        <f xml:space="preserve"> Fig_futuro_Kaya!L40*10^6</f>
        <v>32536597534.915134</v>
      </c>
      <c r="AE40">
        <f xml:space="preserve"> Fig_futuro_Kaya!R40</f>
        <v>12.8793921578688</v>
      </c>
      <c r="AF40">
        <f t="shared" si="7"/>
        <v>419051599134.91931</v>
      </c>
      <c r="AG40" s="86"/>
      <c r="AH40">
        <f xml:space="preserve"> Fig_futuro_Kaya!L40*10^6</f>
        <v>32536597534.915134</v>
      </c>
      <c r="AI40">
        <f>Fig_futuro_Kaya!S40</f>
        <v>12.380169648022543</v>
      </c>
      <c r="AJ40" s="47">
        <f t="shared" si="8"/>
        <v>402808597251.68146</v>
      </c>
    </row>
    <row r="41" spans="1:36" ht="15.75" x14ac:dyDescent="0.25">
      <c r="A41" s="77">
        <v>2037</v>
      </c>
      <c r="B41" s="84">
        <f xml:space="preserve"> Fig_futuro_Kaya!J41*10^6</f>
        <v>27047286946.890194</v>
      </c>
      <c r="C41" s="83">
        <f>Fig_futuro_Kaya!Q41</f>
        <v>12.940926622236489</v>
      </c>
      <c r="D41" s="84">
        <f t="shared" si="1"/>
        <v>350016955710.28082</v>
      </c>
      <c r="E41" s="85"/>
      <c r="F41">
        <f>Fig_futuro_Kaya!J41*10^6</f>
        <v>27047286946.890194</v>
      </c>
      <c r="G41">
        <f xml:space="preserve"> Fig_futuro_Kaya!R41</f>
        <v>12.730722597244254</v>
      </c>
      <c r="H41">
        <f t="shared" si="2"/>
        <v>344331507128.92456</v>
      </c>
      <c r="I41" s="85"/>
      <c r="J41">
        <f xml:space="preserve"> Fig_futuro_Kaya!J41*10^6</f>
        <v>27047286946.890194</v>
      </c>
      <c r="K41">
        <f xml:space="preserve"> Fig_futuro_Kaya!S41</f>
        <v>12.193098355871362</v>
      </c>
      <c r="L41">
        <f t="shared" si="3"/>
        <v>329790230002.90778</v>
      </c>
      <c r="M41" s="85"/>
      <c r="N41">
        <f xml:space="preserve"> Fig_futuro_Kaya!K41*10^6</f>
        <v>30318940885.942169</v>
      </c>
      <c r="O41">
        <f xml:space="preserve"> Fig_futuro_Kaya!Q41</f>
        <v>12.940926622236489</v>
      </c>
      <c r="P41">
        <f t="shared" si="4"/>
        <v>392355189268.90338</v>
      </c>
      <c r="Q41" s="85"/>
      <c r="R41">
        <f xml:space="preserve"> Fig_futuro_Kaya!K41*10^6</f>
        <v>30318940885.942169</v>
      </c>
      <c r="S41">
        <f xml:space="preserve"> Fig_futuro_Kaya!R41</f>
        <v>12.730722597244254</v>
      </c>
      <c r="T41">
        <f t="shared" si="5"/>
        <v>385982025861.1767</v>
      </c>
      <c r="U41" s="85"/>
      <c r="V41">
        <f xml:space="preserve"> Fig_futuro_Kaya!K41*10^6</f>
        <v>30318940885.942169</v>
      </c>
      <c r="W41">
        <f xml:space="preserve"> Fig_futuro_Kaya!S41</f>
        <v>12.193098355871362</v>
      </c>
      <c r="X41">
        <f t="shared" si="6"/>
        <v>369681828268.14246</v>
      </c>
      <c r="Y41" s="85"/>
      <c r="Z41">
        <f xml:space="preserve"> Fig_futuro_Kaya!L41*10^6</f>
        <v>34119646607.712128</v>
      </c>
      <c r="AA41">
        <f xml:space="preserve"> Fig_futuro_Kaya!Q41</f>
        <v>12.940926622236489</v>
      </c>
      <c r="AB41">
        <f t="shared" si="9"/>
        <v>441539843127.04279</v>
      </c>
      <c r="AC41" s="85"/>
      <c r="AD41">
        <f xml:space="preserve"> Fig_futuro_Kaya!L41*10^6</f>
        <v>34119646607.712128</v>
      </c>
      <c r="AE41">
        <f xml:space="preserve"> Fig_futuro_Kaya!R41</f>
        <v>12.730722597244254</v>
      </c>
      <c r="AF41">
        <f t="shared" si="7"/>
        <v>434367756078.78906</v>
      </c>
      <c r="AG41" s="86"/>
      <c r="AH41">
        <f xml:space="preserve"> Fig_futuro_Kaya!L41*10^6</f>
        <v>34119646607.712128</v>
      </c>
      <c r="AI41">
        <f>Fig_futuro_Kaya!S41</f>
        <v>12.193098355871362</v>
      </c>
      <c r="AJ41" s="47">
        <f t="shared" si="8"/>
        <v>416024206955.40662</v>
      </c>
    </row>
    <row r="42" spans="1:36" ht="15.75" x14ac:dyDescent="0.25">
      <c r="A42" s="77">
        <v>2038</v>
      </c>
      <c r="B42" s="84">
        <f xml:space="preserve"> Fig_futuro_Kaya!J42*10^6</f>
        <v>27867561571.38007</v>
      </c>
      <c r="C42" s="83">
        <f>Fig_futuro_Kaya!Q42</f>
        <v>12.816693726663019</v>
      </c>
      <c r="D42" s="84">
        <f t="shared" si="1"/>
        <v>357170001569.30237</v>
      </c>
      <c r="E42" s="85"/>
      <c r="F42">
        <f>Fig_futuro_Kaya!J42*10^6</f>
        <v>27867561571.38007</v>
      </c>
      <c r="G42">
        <f xml:space="preserve"> Fig_futuro_Kaya!R42</f>
        <v>12.582053036619708</v>
      </c>
      <c r="H42">
        <f t="shared" si="2"/>
        <v>350631137692.36932</v>
      </c>
      <c r="I42" s="85"/>
      <c r="J42">
        <f xml:space="preserve"> Fig_futuro_Kaya!J42*10^6</f>
        <v>27867561571.38007</v>
      </c>
      <c r="K42">
        <f xml:space="preserve"> Fig_futuro_Kaya!S42</f>
        <v>12.006027063720181</v>
      </c>
      <c r="L42">
        <f t="shared" si="3"/>
        <v>334578698425.87762</v>
      </c>
      <c r="M42" s="85"/>
      <c r="N42">
        <f xml:space="preserve"> Fig_futuro_Kaya!K42*10^6</f>
        <v>31510370649.918716</v>
      </c>
      <c r="O42">
        <f xml:space="preserve"> Fig_futuro_Kaya!Q42</f>
        <v>12.816693726663019</v>
      </c>
      <c r="P42">
        <f t="shared" si="4"/>
        <v>403858769833.63971</v>
      </c>
      <c r="Q42" s="85"/>
      <c r="R42">
        <f xml:space="preserve"> Fig_futuro_Kaya!K42*10^6</f>
        <v>31510370649.918716</v>
      </c>
      <c r="S42">
        <f xml:space="preserve"> Fig_futuro_Kaya!R42</f>
        <v>12.582053036619708</v>
      </c>
      <c r="T42">
        <f t="shared" si="5"/>
        <v>396465154720.82233</v>
      </c>
      <c r="U42" s="85"/>
      <c r="V42">
        <f xml:space="preserve"> Fig_futuro_Kaya!K42*10^6</f>
        <v>31510370649.918716</v>
      </c>
      <c r="W42">
        <f xml:space="preserve"> Fig_futuro_Kaya!S42</f>
        <v>12.006027063720181</v>
      </c>
      <c r="X42">
        <f t="shared" si="6"/>
        <v>378314362810.7782</v>
      </c>
      <c r="Y42" s="85"/>
      <c r="Z42">
        <f xml:space="preserve"> Fig_futuro_Kaya!L42*10^6</f>
        <v>35779718004.807007</v>
      </c>
      <c r="AA42">
        <f xml:space="preserve"> Fig_futuro_Kaya!Q42</f>
        <v>12.816693726663019</v>
      </c>
      <c r="AB42">
        <f t="shared" si="9"/>
        <v>458577687293.98181</v>
      </c>
      <c r="AC42" s="85"/>
      <c r="AD42">
        <f xml:space="preserve"> Fig_futuro_Kaya!L42*10^6</f>
        <v>35779718004.807007</v>
      </c>
      <c r="AE42">
        <f xml:space="preserve"> Fig_futuro_Kaya!R42</f>
        <v>12.582053036619708</v>
      </c>
      <c r="AF42">
        <f t="shared" si="7"/>
        <v>450182309571.77887</v>
      </c>
      <c r="AG42" s="86"/>
      <c r="AH42">
        <f xml:space="preserve"> Fig_futuro_Kaya!L42*10^6</f>
        <v>35779718004.807007</v>
      </c>
      <c r="AI42">
        <f>Fig_futuro_Kaya!S42</f>
        <v>12.006027063720181</v>
      </c>
      <c r="AJ42" s="47">
        <f t="shared" si="8"/>
        <v>429572262697.98914</v>
      </c>
    </row>
    <row r="43" spans="1:36" ht="15.75" x14ac:dyDescent="0.25">
      <c r="A43" s="77">
        <v>2039</v>
      </c>
      <c r="B43" s="84">
        <f xml:space="preserve"> Fig_futuro_Kaya!J43*10^6</f>
        <v>28712713014.787247</v>
      </c>
      <c r="C43" s="83">
        <f>Fig_futuro_Kaya!Q43</f>
        <v>12.693653466887053</v>
      </c>
      <c r="D43" s="84">
        <f t="shared" si="1"/>
        <v>364469229103.88715</v>
      </c>
      <c r="E43" s="85"/>
      <c r="F43">
        <f>Fig_futuro_Kaya!J43*10^6</f>
        <v>28712713014.787247</v>
      </c>
      <c r="G43">
        <f xml:space="preserve"> Fig_futuro_Kaya!R43</f>
        <v>12.433383475995162</v>
      </c>
      <c r="H43">
        <f t="shared" si="2"/>
        <v>356996171549.047</v>
      </c>
      <c r="I43" s="85"/>
      <c r="J43">
        <f xml:space="preserve"> Fig_futuro_Kaya!J43*10^6</f>
        <v>28712713014.787247</v>
      </c>
      <c r="K43">
        <f xml:space="preserve"> Fig_futuro_Kaya!S43</f>
        <v>11.818955771569</v>
      </c>
      <c r="L43">
        <f t="shared" si="3"/>
        <v>339354285203.52405</v>
      </c>
      <c r="M43" s="85"/>
      <c r="N43">
        <f xml:space="preserve"> Fig_futuro_Kaya!K43*10^6</f>
        <v>32748619492.695858</v>
      </c>
      <c r="O43">
        <f xml:space="preserve"> Fig_futuro_Kaya!Q43</f>
        <v>12.693653466887053</v>
      </c>
      <c r="P43">
        <f t="shared" si="4"/>
        <v>415699627359.22369</v>
      </c>
      <c r="Q43" s="85"/>
      <c r="R43">
        <f xml:space="preserve"> Fig_futuro_Kaya!K43*10^6</f>
        <v>32748619492.695858</v>
      </c>
      <c r="S43">
        <f xml:space="preserve"> Fig_futuro_Kaya!R43</f>
        <v>12.433383475995162</v>
      </c>
      <c r="T43">
        <f t="shared" si="5"/>
        <v>407176144462.13776</v>
      </c>
      <c r="U43" s="85"/>
      <c r="V43">
        <f xml:space="preserve"> Fig_futuro_Kaya!K43*10^6</f>
        <v>32748619492.695858</v>
      </c>
      <c r="W43">
        <f xml:space="preserve"> Fig_futuro_Kaya!S43</f>
        <v>11.818955771569</v>
      </c>
      <c r="X43">
        <f t="shared" si="6"/>
        <v>387054485364.11475</v>
      </c>
      <c r="Y43" s="85"/>
      <c r="Z43">
        <f xml:space="preserve"> Fig_futuro_Kaya!L43*10^6</f>
        <v>37520559202.22068</v>
      </c>
      <c r="AA43">
        <f xml:space="preserve"> Fig_futuro_Kaya!Q43</f>
        <v>12.693653466887053</v>
      </c>
      <c r="AB43">
        <f t="shared" si="9"/>
        <v>476272976396.80945</v>
      </c>
      <c r="AC43" s="85"/>
      <c r="AD43">
        <f xml:space="preserve"> Fig_futuro_Kaya!L43*10^6</f>
        <v>37520559202.22068</v>
      </c>
      <c r="AE43">
        <f xml:space="preserve"> Fig_futuro_Kaya!R43</f>
        <v>12.433383475995162</v>
      </c>
      <c r="AF43">
        <f t="shared" si="7"/>
        <v>466507500794.98883</v>
      </c>
      <c r="AG43" s="86"/>
      <c r="AH43">
        <f xml:space="preserve"> Fig_futuro_Kaya!L43*10^6</f>
        <v>37520559202.22068</v>
      </c>
      <c r="AI43">
        <f>Fig_futuro_Kaya!S43</f>
        <v>11.818955771569</v>
      </c>
      <c r="AJ43" s="47">
        <f t="shared" si="8"/>
        <v>443453829735.58246</v>
      </c>
    </row>
    <row r="44" spans="1:36" ht="15.75" x14ac:dyDescent="0.25">
      <c r="A44" s="77">
        <v>2040</v>
      </c>
      <c r="B44" s="84">
        <f xml:space="preserve"> Fig_futuro_Kaya!J44*10^6</f>
        <v>29583495727.025154</v>
      </c>
      <c r="C44" s="83">
        <f>Fig_futuro_Kaya!Q44</f>
        <v>12.571794393604936</v>
      </c>
      <c r="D44" s="84">
        <f t="shared" si="1"/>
        <v>371917625724.25043</v>
      </c>
      <c r="E44" s="85"/>
      <c r="F44">
        <f>Fig_futuro_Kaya!J44*10^6</f>
        <v>29583495727.025154</v>
      </c>
      <c r="G44">
        <f xml:space="preserve"> Fig_futuro_Kaya!R44</f>
        <v>12.284713915370617</v>
      </c>
      <c r="H44">
        <f t="shared" si="2"/>
        <v>363424781623.09308</v>
      </c>
      <c r="I44" s="85"/>
      <c r="J44">
        <f xml:space="preserve"> Fig_futuro_Kaya!J44*10^6</f>
        <v>29583495727.025154</v>
      </c>
      <c r="K44">
        <f xml:space="preserve"> Fig_futuro_Kaya!S44</f>
        <v>11.631884479417819</v>
      </c>
      <c r="L44">
        <f t="shared" si="3"/>
        <v>344111804794.10724</v>
      </c>
      <c r="M44" s="85"/>
      <c r="N44">
        <f xml:space="preserve"> Fig_futuro_Kaya!K44*10^6</f>
        <v>34035527242.52533</v>
      </c>
      <c r="O44">
        <f xml:space="preserve"> Fig_futuro_Kaya!Q44</f>
        <v>12.571794393604936</v>
      </c>
      <c r="P44">
        <f t="shared" si="4"/>
        <v>427887650570.96802</v>
      </c>
      <c r="Q44" s="85"/>
      <c r="R44">
        <f xml:space="preserve"> Fig_futuro_Kaya!K44*10^6</f>
        <v>34035527242.52533</v>
      </c>
      <c r="S44">
        <f xml:space="preserve"> Fig_futuro_Kaya!R44</f>
        <v>12.284713915370617</v>
      </c>
      <c r="T44">
        <f t="shared" si="5"/>
        <v>418116715133.22662</v>
      </c>
      <c r="U44" s="85"/>
      <c r="V44">
        <f xml:space="preserve"> Fig_futuro_Kaya!K44*10^6</f>
        <v>34035527242.52533</v>
      </c>
      <c r="W44">
        <f xml:space="preserve"> Fig_futuro_Kaya!S44</f>
        <v>11.631884479417819</v>
      </c>
      <c r="X44">
        <f t="shared" si="6"/>
        <v>395897321081.13275</v>
      </c>
      <c r="Y44" s="85"/>
      <c r="Z44">
        <f xml:space="preserve"> Fig_futuro_Kaya!L44*10^6</f>
        <v>39346100007.222229</v>
      </c>
      <c r="AA44">
        <f xml:space="preserve"> Fig_futuro_Kaya!Q44</f>
        <v>12.571794393604936</v>
      </c>
      <c r="AB44">
        <f t="shared" si="9"/>
        <v>494651079481.01556</v>
      </c>
      <c r="AC44" s="85"/>
      <c r="AD44">
        <f xml:space="preserve"> Fig_futuro_Kaya!L44*10^6</f>
        <v>39346100007.222229</v>
      </c>
      <c r="AE44">
        <f xml:space="preserve"> Fig_futuro_Kaya!R44</f>
        <v>12.284713915370617</v>
      </c>
      <c r="AF44">
        <f t="shared" si="7"/>
        <v>483355582274.28687</v>
      </c>
      <c r="AG44" s="86"/>
      <c r="AH44">
        <f xml:space="preserve"> Fig_futuro_Kaya!L44*10^6</f>
        <v>39346100007.222229</v>
      </c>
      <c r="AI44">
        <f>Fig_futuro_Kaya!S44</f>
        <v>11.631884479417819</v>
      </c>
      <c r="AJ44" s="47">
        <f t="shared" si="8"/>
        <v>457669289999.62958</v>
      </c>
    </row>
    <row r="45" spans="1:36" ht="15.75" x14ac:dyDescent="0.25">
      <c r="A45" s="77">
        <v>2041</v>
      </c>
      <c r="B45" s="84">
        <f xml:space="preserve"> Fig_futuro_Kaya!J45*10^6</f>
        <v>30480687038.532028</v>
      </c>
      <c r="C45" s="83">
        <f>Fig_futuro_Kaya!Q45</f>
        <v>12.451105167426327</v>
      </c>
      <c r="D45" s="84">
        <f t="shared" si="1"/>
        <v>379518239892.17084</v>
      </c>
      <c r="E45" s="85"/>
      <c r="F45">
        <f>Fig_futuro_Kaya!J45*10^6</f>
        <v>30480687038.532028</v>
      </c>
      <c r="G45">
        <f xml:space="preserve"> Fig_futuro_Kaya!R45</f>
        <v>12.136044354746071</v>
      </c>
      <c r="H45">
        <f t="shared" si="2"/>
        <v>369914969862.75836</v>
      </c>
      <c r="I45" s="85"/>
      <c r="J45">
        <f xml:space="preserve"> Fig_futuro_Kaya!J45*10^6</f>
        <v>30480687038.532028</v>
      </c>
      <c r="K45">
        <f xml:space="preserve"> Fig_futuro_Kaya!S45</f>
        <v>11.444813187266638</v>
      </c>
      <c r="L45">
        <f t="shared" si="3"/>
        <v>348845768975.53864</v>
      </c>
      <c r="M45" s="85"/>
      <c r="N45">
        <f xml:space="preserve"> Fig_futuro_Kaya!K45*10^6</f>
        <v>35373006026.561005</v>
      </c>
      <c r="O45">
        <f xml:space="preserve"> Fig_futuro_Kaya!Q45</f>
        <v>12.451105167426327</v>
      </c>
      <c r="P45">
        <f t="shared" si="4"/>
        <v>440433018124.71631</v>
      </c>
      <c r="Q45" s="85"/>
      <c r="R45">
        <f xml:space="preserve"> Fig_futuro_Kaya!K45*10^6</f>
        <v>35373006026.561005</v>
      </c>
      <c r="S45">
        <f xml:space="preserve"> Fig_futuro_Kaya!R45</f>
        <v>12.136044354746071</v>
      </c>
      <c r="T45">
        <f t="shared" si="5"/>
        <v>429288370099.04443</v>
      </c>
      <c r="U45" s="85"/>
      <c r="V45">
        <f xml:space="preserve"> Fig_futuro_Kaya!K45*10^6</f>
        <v>35373006026.561005</v>
      </c>
      <c r="W45">
        <f xml:space="preserve"> Fig_futuro_Kaya!S45</f>
        <v>11.444813187266638</v>
      </c>
      <c r="X45">
        <f t="shared" si="6"/>
        <v>404837445846.04761</v>
      </c>
      <c r="Y45" s="85"/>
      <c r="Z45">
        <f xml:space="preserve"> Fig_futuro_Kaya!L45*10^6</f>
        <v>41260461429.548927</v>
      </c>
      <c r="AA45">
        <f xml:space="preserve"> Fig_futuro_Kaya!Q45</f>
        <v>12.451105167426327</v>
      </c>
      <c r="AB45">
        <f t="shared" si="9"/>
        <v>513738344515.85132</v>
      </c>
      <c r="AC45" s="85"/>
      <c r="AD45">
        <f xml:space="preserve"> Fig_futuro_Kaya!L45*10^6</f>
        <v>41260461429.548927</v>
      </c>
      <c r="AE45">
        <f xml:space="preserve"> Fig_futuro_Kaya!R45</f>
        <v>12.136044354746071</v>
      </c>
      <c r="AF45">
        <f t="shared" si="7"/>
        <v>500738790006.29523</v>
      </c>
      <c r="AG45" s="86"/>
      <c r="AH45">
        <f xml:space="preserve"> Fig_futuro_Kaya!L45*10^6</f>
        <v>41260461429.548927</v>
      </c>
      <c r="AI45">
        <f>Fig_futuro_Kaya!S45</f>
        <v>11.444813187266638</v>
      </c>
      <c r="AJ45" s="47">
        <f t="shared" si="8"/>
        <v>472218273081.60803</v>
      </c>
    </row>
    <row r="46" spans="1:36" ht="15.75" x14ac:dyDescent="0.25">
      <c r="A46" s="77">
        <v>2042</v>
      </c>
      <c r="B46" s="84">
        <f xml:space="preserve"> Fig_futuro_Kaya!J46*10^6</f>
        <v>31405087854.178341</v>
      </c>
      <c r="C46" s="83">
        <f>Fig_futuro_Kaya!Q46</f>
        <v>12.331574557819033</v>
      </c>
      <c r="D46" s="84">
        <f t="shared" si="1"/>
        <v>387274182368.65717</v>
      </c>
      <c r="E46" s="85"/>
      <c r="F46">
        <f>Fig_futuro_Kaya!J46*10^6</f>
        <v>31405087854.178341</v>
      </c>
      <c r="G46">
        <f xml:space="preserve"> Fig_futuro_Kaya!R46</f>
        <v>11.987374794121525</v>
      </c>
      <c r="H46">
        <f t="shared" si="2"/>
        <v>376464558550.34949</v>
      </c>
      <c r="I46" s="85"/>
      <c r="J46">
        <f xml:space="preserve"> Fig_futuro_Kaya!J46*10^6</f>
        <v>31405087854.178341</v>
      </c>
      <c r="K46">
        <f xml:space="preserve"> Fig_futuro_Kaya!S46</f>
        <v>11.257741895115457</v>
      </c>
      <c r="L46">
        <f t="shared" si="3"/>
        <v>353550373255.76508</v>
      </c>
      <c r="M46" s="85"/>
      <c r="N46">
        <f xml:space="preserve"> Fig_futuro_Kaya!K46*10^6</f>
        <v>36763043111.956284</v>
      </c>
      <c r="O46">
        <f xml:space="preserve"> Fig_futuro_Kaya!Q46</f>
        <v>12.331574557819033</v>
      </c>
      <c r="P46">
        <f t="shared" si="4"/>
        <v>453346207107.40436</v>
      </c>
      <c r="Q46" s="85"/>
      <c r="R46">
        <f xml:space="preserve"> Fig_futuro_Kaya!K46*10^6</f>
        <v>36763043111.956284</v>
      </c>
      <c r="S46">
        <f xml:space="preserve"> Fig_futuro_Kaya!R46</f>
        <v>11.987374794121525</v>
      </c>
      <c r="T46">
        <f t="shared" si="5"/>
        <v>440692376355.46771</v>
      </c>
      <c r="U46" s="85"/>
      <c r="V46">
        <f xml:space="preserve"> Fig_futuro_Kaya!K46*10^6</f>
        <v>36763043111.956284</v>
      </c>
      <c r="W46">
        <f xml:space="preserve"> Fig_futuro_Kaya!S46</f>
        <v>11.257741895115457</v>
      </c>
      <c r="X46">
        <f t="shared" si="6"/>
        <v>413868850633.40594</v>
      </c>
      <c r="Y46" s="85"/>
      <c r="Z46">
        <f xml:space="preserve"> Fig_futuro_Kaya!L46*10^6</f>
        <v>43267964984.250122</v>
      </c>
      <c r="AA46">
        <f xml:space="preserve"> Fig_futuro_Kaya!Q46</f>
        <v>12.331574557819033</v>
      </c>
      <c r="AB46">
        <f t="shared" si="9"/>
        <v>533562136168.38361</v>
      </c>
      <c r="AC46" s="85"/>
      <c r="AD46">
        <f xml:space="preserve"> Fig_futuro_Kaya!L46*10^6</f>
        <v>43267964984.250122</v>
      </c>
      <c r="AE46">
        <f xml:space="preserve"> Fig_futuro_Kaya!R46</f>
        <v>11.987374794121525</v>
      </c>
      <c r="AF46">
        <f t="shared" si="7"/>
        <v>518669312845.13263</v>
      </c>
      <c r="AG46" s="86"/>
      <c r="AH46">
        <f xml:space="preserve"> Fig_futuro_Kaya!L46*10^6</f>
        <v>43267964984.250122</v>
      </c>
      <c r="AI46">
        <f>Fig_futuro_Kaya!S46</f>
        <v>11.257741895115457</v>
      </c>
      <c r="AJ46" s="47">
        <f t="shared" si="8"/>
        <v>487099582119.58118</v>
      </c>
    </row>
    <row r="47" spans="1:36" ht="15.75" x14ac:dyDescent="0.25">
      <c r="A47" s="77">
        <v>2043</v>
      </c>
      <c r="B47" s="84">
        <f xml:space="preserve"> Fig_futuro_Kaya!J47*10^6</f>
        <v>32357523368.21867</v>
      </c>
      <c r="C47" s="83">
        <f>Fig_futuro_Kaya!Q47</f>
        <v>12.21319144206397</v>
      </c>
      <c r="D47" s="84">
        <f t="shared" si="1"/>
        <v>395188627487.11316</v>
      </c>
      <c r="E47" s="85"/>
      <c r="F47">
        <f>Fig_futuro_Kaya!J47*10^6</f>
        <v>32357523368.21867</v>
      </c>
      <c r="G47">
        <f xml:space="preserve"> Fig_futuro_Kaya!R47</f>
        <v>11.838705233496979</v>
      </c>
      <c r="H47">
        <f t="shared" si="2"/>
        <v>383071181242.33118</v>
      </c>
      <c r="I47" s="85"/>
      <c r="J47">
        <f xml:space="preserve"> Fig_futuro_Kaya!J47*10^6</f>
        <v>32357523368.21867</v>
      </c>
      <c r="K47">
        <f xml:space="preserve"> Fig_futuro_Kaya!S47</f>
        <v>11.070670602964276</v>
      </c>
      <c r="L47">
        <f t="shared" si="3"/>
        <v>358219482737.26801</v>
      </c>
      <c r="M47" s="85"/>
      <c r="N47">
        <f xml:space="preserve"> Fig_futuro_Kaya!K47*10^6</f>
        <v>38207703858.606865</v>
      </c>
      <c r="O47">
        <f xml:space="preserve"> Fig_futuro_Kaya!Q47</f>
        <v>12.21319144206397</v>
      </c>
      <c r="P47">
        <f t="shared" si="4"/>
        <v>466638001786.85187</v>
      </c>
      <c r="Q47" s="85"/>
      <c r="R47">
        <f xml:space="preserve"> Fig_futuro_Kaya!K47*10^6</f>
        <v>38207703858.606865</v>
      </c>
      <c r="S47">
        <f xml:space="preserve"> Fig_futuro_Kaya!R47</f>
        <v>11.838705233496979</v>
      </c>
      <c r="T47">
        <f t="shared" si="5"/>
        <v>452329743630.79181</v>
      </c>
      <c r="U47" s="85"/>
      <c r="V47">
        <f xml:space="preserve"> Fig_futuro_Kaya!K47*10^6</f>
        <v>38207703858.606865</v>
      </c>
      <c r="W47">
        <f xml:space="preserve"> Fig_futuro_Kaya!S47</f>
        <v>11.070670602964276</v>
      </c>
      <c r="X47">
        <f t="shared" si="6"/>
        <v>422984903914.24371</v>
      </c>
      <c r="Y47" s="85"/>
      <c r="Z47">
        <f xml:space="preserve"> Fig_futuro_Kaya!L47*10^6</f>
        <v>45373142447.1558</v>
      </c>
      <c r="AA47">
        <f xml:space="preserve"> Fig_futuro_Kaya!Q47</f>
        <v>12.21319144206397</v>
      </c>
      <c r="AB47">
        <f t="shared" si="9"/>
        <v>554150875035.15271</v>
      </c>
      <c r="AC47" s="85"/>
      <c r="AD47">
        <f xml:space="preserve"> Fig_futuro_Kaya!L47*10^6</f>
        <v>45373142447.1558</v>
      </c>
      <c r="AE47">
        <f xml:space="preserve"> Fig_futuro_Kaya!R47</f>
        <v>11.838705233496979</v>
      </c>
      <c r="AF47">
        <f t="shared" si="7"/>
        <v>537159258949.34729</v>
      </c>
      <c r="AG47" s="86"/>
      <c r="AH47">
        <f xml:space="preserve"> Fig_futuro_Kaya!L47*10^6</f>
        <v>45373142447.1558</v>
      </c>
      <c r="AI47">
        <f>Fig_futuro_Kaya!S47</f>
        <v>11.070670602964276</v>
      </c>
      <c r="AJ47" s="47">
        <f t="shared" si="8"/>
        <v>502311114253.83826</v>
      </c>
    </row>
    <row r="48" spans="1:36" ht="15.75" x14ac:dyDescent="0.25">
      <c r="A48" s="77">
        <v>2044</v>
      </c>
      <c r="B48" s="84">
        <f xml:space="preserve"> Fig_futuro_Kaya!J48*10^6</f>
        <v>33338843800.926224</v>
      </c>
      <c r="C48" s="83">
        <f>Fig_futuro_Kaya!Q48</f>
        <v>12.095944804220155</v>
      </c>
      <c r="D48" s="84">
        <f t="shared" si="1"/>
        <v>403264814452.52087</v>
      </c>
      <c r="E48" s="85"/>
      <c r="F48">
        <f>Fig_futuro_Kaya!J48*10^6</f>
        <v>33338843800.926224</v>
      </c>
      <c r="G48">
        <f xml:space="preserve"> Fig_futuro_Kaya!R48</f>
        <v>11.690035672872433</v>
      </c>
      <c r="H48">
        <f t="shared" si="2"/>
        <v>389732273325.14954</v>
      </c>
      <c r="I48" s="85"/>
      <c r="J48">
        <f xml:space="preserve"> Fig_futuro_Kaya!J48*10^6</f>
        <v>33338843800.926224</v>
      </c>
      <c r="K48">
        <f xml:space="preserve"> Fig_futuro_Kaya!S48</f>
        <v>10.883599310813095</v>
      </c>
      <c r="L48">
        <f t="shared" si="3"/>
        <v>362846617415.06604</v>
      </c>
      <c r="M48" s="85"/>
      <c r="N48">
        <f xml:space="preserve"> Fig_futuro_Kaya!K48*10^6</f>
        <v>39709134787.925797</v>
      </c>
      <c r="O48">
        <f xml:space="preserve"> Fig_futuro_Kaya!Q48</f>
        <v>12.095944804220155</v>
      </c>
      <c r="P48">
        <f t="shared" si="4"/>
        <v>480319502618.08881</v>
      </c>
      <c r="Q48" s="85"/>
      <c r="R48">
        <f xml:space="preserve"> Fig_futuro_Kaya!K48*10^6</f>
        <v>39709134787.925797</v>
      </c>
      <c r="S48">
        <f xml:space="preserve"> Fig_futuro_Kaya!R48</f>
        <v>11.690035672872433</v>
      </c>
      <c r="T48">
        <f t="shared" si="5"/>
        <v>464201202209.75226</v>
      </c>
      <c r="U48" s="85"/>
      <c r="V48">
        <f xml:space="preserve"> Fig_futuro_Kaya!K48*10^6</f>
        <v>39709134787.925797</v>
      </c>
      <c r="W48">
        <f xml:space="preserve"> Fig_futuro_Kaya!S48</f>
        <v>10.883599310813095</v>
      </c>
      <c r="X48">
        <f t="shared" si="6"/>
        <v>432178312010.85345</v>
      </c>
      <c r="Y48" s="85"/>
      <c r="Z48">
        <f xml:space="preserve"> Fig_futuro_Kaya!L48*10^6</f>
        <v>47580746084.990944</v>
      </c>
      <c r="AA48">
        <f xml:space="preserve"> Fig_futuro_Kaya!Q48</f>
        <v>12.095944804220155</v>
      </c>
      <c r="AB48">
        <f t="shared" si="9"/>
        <v>575534078387.66467</v>
      </c>
      <c r="AC48" s="85"/>
      <c r="AD48">
        <f xml:space="preserve"> Fig_futuro_Kaya!L48*10^6</f>
        <v>47580746084.990944</v>
      </c>
      <c r="AE48">
        <f xml:space="preserve"> Fig_futuro_Kaya!R48</f>
        <v>11.690035672872433</v>
      </c>
      <c r="AF48">
        <f t="shared" si="7"/>
        <v>556220619075.42957</v>
      </c>
      <c r="AG48" s="86"/>
      <c r="AH48">
        <f xml:space="preserve"> Fig_futuro_Kaya!L48*10^6</f>
        <v>47580746084.990944</v>
      </c>
      <c r="AI48">
        <f>Fig_futuro_Kaya!S48</f>
        <v>10.883599310813095</v>
      </c>
      <c r="AJ48" s="47">
        <f t="shared" si="8"/>
        <v>517849775298.58026</v>
      </c>
    </row>
    <row r="49" spans="1:36" ht="15.75" x14ac:dyDescent="0.25">
      <c r="A49" s="77">
        <v>2045</v>
      </c>
      <c r="B49" s="84">
        <f xml:space="preserve"> Fig_futuro_Kaya!J49*10^6</f>
        <v>34349925157.567638</v>
      </c>
      <c r="C49" s="83">
        <f>Fig_futuro_Kaya!Q49</f>
        <v>11.979823734099641</v>
      </c>
      <c r="D49" s="84">
        <f t="shared" si="1"/>
        <v>411506048667.17517</v>
      </c>
      <c r="E49" s="85"/>
      <c r="F49">
        <f>Fig_futuro_Kaya!J49*10^6</f>
        <v>34349925157.567638</v>
      </c>
      <c r="G49">
        <f xml:space="preserve"> Fig_futuro_Kaya!R49</f>
        <v>11.541366112247887</v>
      </c>
      <c r="H49">
        <f t="shared" si="2"/>
        <v>396445062171.80231</v>
      </c>
      <c r="I49" s="85"/>
      <c r="J49">
        <f xml:space="preserve"> Fig_futuro_Kaya!J49*10^6</f>
        <v>34349925157.567638</v>
      </c>
      <c r="K49">
        <f xml:space="preserve"> Fig_futuro_Kaya!S49</f>
        <v>10.696528018661914</v>
      </c>
      <c r="L49">
        <f t="shared" si="3"/>
        <v>367424936886.862</v>
      </c>
      <c r="M49" s="85"/>
      <c r="N49">
        <f xml:space="preserve"> Fig_futuro_Kaya!K49*10^6</f>
        <v>41269566772.211433</v>
      </c>
      <c r="O49">
        <f xml:space="preserve"> Fig_futuro_Kaya!Q49</f>
        <v>11.979823734099641</v>
      </c>
      <c r="P49">
        <f t="shared" si="4"/>
        <v>494402135513.74847</v>
      </c>
      <c r="Q49" s="85"/>
      <c r="R49">
        <f xml:space="preserve"> Fig_futuro_Kaya!K49*10^6</f>
        <v>41269566772.211433</v>
      </c>
      <c r="S49">
        <f xml:space="preserve"> Fig_futuro_Kaya!R49</f>
        <v>11.541366112247887</v>
      </c>
      <c r="T49">
        <f t="shared" si="5"/>
        <v>476307179411.95245</v>
      </c>
      <c r="U49" s="85"/>
      <c r="V49">
        <f xml:space="preserve"> Fig_futuro_Kaya!K49*10^6</f>
        <v>41269566772.211433</v>
      </c>
      <c r="W49">
        <f xml:space="preserve"> Fig_futuro_Kaya!S49</f>
        <v>10.696528018661914</v>
      </c>
      <c r="X49">
        <f t="shared" si="6"/>
        <v>441441077296.99829</v>
      </c>
      <c r="Y49" s="85"/>
      <c r="Z49">
        <f xml:space="preserve"> Fig_futuro_Kaya!L49*10^6</f>
        <v>49895759383.231659</v>
      </c>
      <c r="AA49">
        <f xml:space="preserve"> Fig_futuro_Kaya!Q49</f>
        <v>11.979823734099641</v>
      </c>
      <c r="AB49">
        <f t="shared" si="9"/>
        <v>597742402490.16345</v>
      </c>
      <c r="AC49" s="85"/>
      <c r="AD49">
        <f xml:space="preserve"> Fig_futuro_Kaya!L49*10^6</f>
        <v>49895759383.231659</v>
      </c>
      <c r="AE49">
        <f xml:space="preserve"> Fig_futuro_Kaya!R49</f>
        <v>11.541366112247887</v>
      </c>
      <c r="AF49">
        <f t="shared" si="7"/>
        <v>575865226490.50439</v>
      </c>
      <c r="AG49" s="86"/>
      <c r="AH49">
        <f xml:space="preserve"> Fig_futuro_Kaya!L49*10^6</f>
        <v>49895759383.231659</v>
      </c>
      <c r="AI49">
        <f>Fig_futuro_Kaya!S49</f>
        <v>10.696528018661914</v>
      </c>
      <c r="AJ49" s="47">
        <f t="shared" si="8"/>
        <v>533711388255.15051</v>
      </c>
    </row>
    <row r="50" spans="1:36" ht="15.75" x14ac:dyDescent="0.25">
      <c r="A50" s="77">
        <v>2046</v>
      </c>
      <c r="B50" s="84">
        <f xml:space="preserve"> Fig_futuro_Kaya!J50*10^6</f>
        <v>35391670010.395432</v>
      </c>
      <c r="C50" s="83">
        <f>Fig_futuro_Kaya!Q50</f>
        <v>11.864817426252284</v>
      </c>
      <c r="D50" s="84">
        <f t="shared" si="1"/>
        <v>419915703083.51007</v>
      </c>
      <c r="E50" s="85"/>
      <c r="F50">
        <f>Fig_futuro_Kaya!J50*10^6</f>
        <v>35391670010.395432</v>
      </c>
      <c r="G50">
        <f xml:space="preserve"> Fig_futuro_Kaya!R50</f>
        <v>11.392696551623342</v>
      </c>
      <c r="H50">
        <f t="shared" si="2"/>
        <v>403206556883.62329</v>
      </c>
      <c r="I50" s="85"/>
      <c r="J50">
        <f xml:space="preserve"> Fig_futuro_Kaya!J50*10^6</f>
        <v>35391670010.395432</v>
      </c>
      <c r="K50">
        <f xml:space="preserve"> Fig_futuro_Kaya!S50</f>
        <v>10.509456726510733</v>
      </c>
      <c r="L50">
        <f t="shared" si="3"/>
        <v>371947224453.19843</v>
      </c>
      <c r="M50" s="85"/>
      <c r="N50">
        <f xml:space="preserve"> Fig_futuro_Kaya!K50*10^6</f>
        <v>42891318349.34613</v>
      </c>
      <c r="O50">
        <f xml:space="preserve"> Fig_futuro_Kaya!Q50</f>
        <v>11.864817426252284</v>
      </c>
      <c r="P50">
        <f t="shared" si="4"/>
        <v>508897661386.25629</v>
      </c>
      <c r="Q50" s="85"/>
      <c r="R50">
        <f xml:space="preserve"> Fig_futuro_Kaya!K50*10^6</f>
        <v>42891318349.34613</v>
      </c>
      <c r="S50">
        <f xml:space="preserve"> Fig_futuro_Kaya!R50</f>
        <v>11.392696551623342</v>
      </c>
      <c r="T50">
        <f t="shared" si="5"/>
        <v>488647774653.17462</v>
      </c>
      <c r="U50" s="85"/>
      <c r="V50">
        <f xml:space="preserve"> Fig_futuro_Kaya!K50*10^6</f>
        <v>42891318349.34613</v>
      </c>
      <c r="W50">
        <f xml:space="preserve"> Fig_futuro_Kaya!S50</f>
        <v>10.509456726510733</v>
      </c>
      <c r="X50">
        <f t="shared" si="6"/>
        <v>450764454135.44891</v>
      </c>
      <c r="Y50" s="85"/>
      <c r="Z50">
        <f xml:space="preserve"> Fig_futuro_Kaya!L50*10^6</f>
        <v>52323408295.917313</v>
      </c>
      <c r="AA50">
        <f xml:space="preserve"> Fig_futuro_Kaya!Q50</f>
        <v>11.864817426252284</v>
      </c>
      <c r="AB50">
        <f t="shared" si="9"/>
        <v>620807686550.31299</v>
      </c>
      <c r="AC50" s="85"/>
      <c r="AD50">
        <f xml:space="preserve"> Fig_futuro_Kaya!L50*10^6</f>
        <v>52323408295.917313</v>
      </c>
      <c r="AE50">
        <f xml:space="preserve"> Fig_futuro_Kaya!R50</f>
        <v>11.392696551623342</v>
      </c>
      <c r="AF50">
        <f t="shared" si="7"/>
        <v>596104713262.07727</v>
      </c>
      <c r="AG50" s="86"/>
      <c r="AH50">
        <f xml:space="preserve"> Fig_futuro_Kaya!L50*10^6</f>
        <v>52323408295.917313</v>
      </c>
      <c r="AI50">
        <f>Fig_futuro_Kaya!S50</f>
        <v>10.509456726510733</v>
      </c>
      <c r="AJ50" s="47">
        <f t="shared" si="8"/>
        <v>549890595269.49573</v>
      </c>
    </row>
    <row r="51" spans="1:36" ht="15.75" x14ac:dyDescent="0.25">
      <c r="A51" s="77">
        <v>2047</v>
      </c>
      <c r="B51" s="84">
        <f xml:space="preserve"> Fig_futuro_Kaya!J51*10^6</f>
        <v>36465008304.356346</v>
      </c>
      <c r="C51" s="83">
        <f>Fig_futuro_Kaya!Q51</f>
        <v>11.750915178960261</v>
      </c>
      <c r="D51" s="84">
        <f t="shared" si="1"/>
        <v>428497219584.57294</v>
      </c>
      <c r="E51" s="85"/>
      <c r="F51">
        <f>Fig_futuro_Kaya!J51*10^6</f>
        <v>36465008304.356346</v>
      </c>
      <c r="G51">
        <f xml:space="preserve"> Fig_futuro_Kaya!R51</f>
        <v>11.244026990998796</v>
      </c>
      <c r="H51">
        <f t="shared" si="2"/>
        <v>410013537601.17798</v>
      </c>
      <c r="I51" s="85"/>
      <c r="J51">
        <f xml:space="preserve"> Fig_futuro_Kaya!J51*10^6</f>
        <v>36465008304.356346</v>
      </c>
      <c r="K51">
        <f xml:space="preserve"> Fig_futuro_Kaya!S51</f>
        <v>10.322385434359552</v>
      </c>
      <c r="L51">
        <f t="shared" si="3"/>
        <v>376405870584.68805</v>
      </c>
      <c r="M51" s="85"/>
      <c r="N51">
        <f xml:space="preserve"> Fig_futuro_Kaya!K51*10^6</f>
        <v>44576799167.750938</v>
      </c>
      <c r="O51">
        <f xml:space="preserve"> Fig_futuro_Kaya!Q51</f>
        <v>11.750915178960261</v>
      </c>
      <c r="P51">
        <f t="shared" si="4"/>
        <v>523818185969.7876</v>
      </c>
      <c r="Q51" s="85"/>
      <c r="R51">
        <f xml:space="preserve"> Fig_futuro_Kaya!K51*10^6</f>
        <v>44576799167.750938</v>
      </c>
      <c r="S51">
        <f xml:space="preserve"> Fig_futuro_Kaya!R51</f>
        <v>11.244026990998796</v>
      </c>
      <c r="T51">
        <f t="shared" si="5"/>
        <v>501222733014.52423</v>
      </c>
      <c r="U51" s="85"/>
      <c r="V51">
        <f xml:space="preserve"> Fig_futuro_Kaya!K51*10^6</f>
        <v>44576799167.750938</v>
      </c>
      <c r="W51">
        <f xml:space="preserve"> Fig_futuro_Kaya!S51</f>
        <v>10.322385434359552</v>
      </c>
      <c r="X51">
        <f t="shared" si="6"/>
        <v>460138902439.56329</v>
      </c>
      <c r="Y51" s="85"/>
      <c r="Z51">
        <f xml:space="preserve"> Fig_futuro_Kaya!L51*10^6</f>
        <v>54869173042.816399</v>
      </c>
      <c r="AA51">
        <f xml:space="preserve"> Fig_futuro_Kaya!Q51</f>
        <v>11.750915178960261</v>
      </c>
      <c r="AB51">
        <f t="shared" si="9"/>
        <v>644762998365.82837</v>
      </c>
      <c r="AC51" s="85"/>
      <c r="AD51">
        <f xml:space="preserve"> Fig_futuro_Kaya!L51*10^6</f>
        <v>54869173042.816399</v>
      </c>
      <c r="AE51">
        <f xml:space="preserve"> Fig_futuro_Kaya!R51</f>
        <v>11.244026990998796</v>
      </c>
      <c r="AF51">
        <f t="shared" si="7"/>
        <v>616950462667.21106</v>
      </c>
      <c r="AG51" s="86"/>
      <c r="AH51">
        <f xml:space="preserve"> Fig_futuro_Kaya!L51*10^6</f>
        <v>54869173042.816399</v>
      </c>
      <c r="AI51">
        <f>Fig_futuro_Kaya!S51</f>
        <v>10.322385434359552</v>
      </c>
      <c r="AJ51" s="47">
        <f t="shared" si="8"/>
        <v>566380752612.52173</v>
      </c>
    </row>
    <row r="52" spans="1:36" ht="15.75" x14ac:dyDescent="0.25">
      <c r="A52" s="77">
        <v>2048</v>
      </c>
      <c r="B52" s="84">
        <f xml:space="preserve"> Fig_futuro_Kaya!J52*10^6</f>
        <v>37570898187.234787</v>
      </c>
      <c r="C52" s="83">
        <f>Fig_futuro_Kaya!Q52</f>
        <v>11.638106393242241</v>
      </c>
      <c r="D52" s="84">
        <f t="shared" si="1"/>
        <v>437254110392.71051</v>
      </c>
      <c r="E52" s="85"/>
      <c r="F52">
        <f>Fig_futuro_Kaya!J52*10^6</f>
        <v>37570898187.234787</v>
      </c>
      <c r="G52">
        <f xml:space="preserve"> Fig_futuro_Kaya!R52</f>
        <v>11.09535743037425</v>
      </c>
      <c r="H52">
        <f t="shared" si="2"/>
        <v>416862544367.56995</v>
      </c>
      <c r="I52" s="85"/>
      <c r="J52">
        <f xml:space="preserve"> Fig_futuro_Kaya!J52*10^6</f>
        <v>37570898187.234787</v>
      </c>
      <c r="K52">
        <f xml:space="preserve"> Fig_futuro_Kaya!S52</f>
        <v>10.135314142208371</v>
      </c>
      <c r="L52">
        <f t="shared" si="3"/>
        <v>380792855732.55157</v>
      </c>
      <c r="M52" s="85"/>
      <c r="N52">
        <f xml:space="preserve"> Fig_futuro_Kaya!K52*10^6</f>
        <v>46328513566.715607</v>
      </c>
      <c r="O52">
        <f xml:space="preserve"> Fig_futuro_Kaya!Q52</f>
        <v>11.638106393242241</v>
      </c>
      <c r="P52">
        <f t="shared" si="4"/>
        <v>539176169930.20282</v>
      </c>
      <c r="Q52" s="85"/>
      <c r="R52">
        <f xml:space="preserve"> Fig_futuro_Kaya!K52*10^6</f>
        <v>46328513566.715607</v>
      </c>
      <c r="S52">
        <f xml:space="preserve"> Fig_futuro_Kaya!R52</f>
        <v>11.09535743037425</v>
      </c>
      <c r="T52">
        <f t="shared" si="5"/>
        <v>514031417240.65222</v>
      </c>
      <c r="U52" s="85"/>
      <c r="V52">
        <f xml:space="preserve"> Fig_futuro_Kaya!K52*10^6</f>
        <v>46328513566.715607</v>
      </c>
      <c r="W52">
        <f xml:space="preserve"> Fig_futuro_Kaya!S52</f>
        <v>10.135314142208371</v>
      </c>
      <c r="X52">
        <f t="shared" si="6"/>
        <v>469554038740.22504</v>
      </c>
      <c r="Y52" s="85"/>
      <c r="Z52">
        <f xml:space="preserve"> Fig_futuro_Kaya!L52*10^6</f>
        <v>57538800480.576569</v>
      </c>
      <c r="AA52">
        <f xml:space="preserve"> Fig_futuro_Kaya!Q52</f>
        <v>11.638106393242241</v>
      </c>
      <c r="AB52">
        <f t="shared" si="9"/>
        <v>669642681732.48792</v>
      </c>
      <c r="AC52" s="85"/>
      <c r="AD52">
        <f xml:space="preserve"> Fig_futuro_Kaya!L52*10^6</f>
        <v>57538800480.576569</v>
      </c>
      <c r="AE52">
        <f xml:space="preserve"> Fig_futuro_Kaya!R52</f>
        <v>11.09535743037425</v>
      </c>
      <c r="AF52">
        <f t="shared" si="7"/>
        <v>638413557446.98669</v>
      </c>
      <c r="AG52" s="86"/>
      <c r="AH52">
        <f xml:space="preserve"> Fig_futuro_Kaya!L52*10^6</f>
        <v>57538800480.576569</v>
      </c>
      <c r="AI52">
        <f>Fig_futuro_Kaya!S52</f>
        <v>10.135314142208371</v>
      </c>
      <c r="AJ52" s="47">
        <f>AH52*AI52</f>
        <v>583173818236.49353</v>
      </c>
    </row>
    <row r="53" spans="1:36" ht="15.75" x14ac:dyDescent="0.25">
      <c r="A53" s="77">
        <v>2049</v>
      </c>
      <c r="B53" s="84">
        <f xml:space="preserve"> Fig_futuro_Kaya!J53*10^6</f>
        <v>38710326864.97226</v>
      </c>
      <c r="C53" s="83">
        <f>Fig_futuro_Kaya!Q53</f>
        <v>11.526380571867115</v>
      </c>
      <c r="D53" s="84">
        <f t="shared" si="1"/>
        <v>446189959507.04187</v>
      </c>
      <c r="E53" s="85"/>
      <c r="F53">
        <f>Fig_futuro_Kaya!J53*10^6</f>
        <v>38710326864.97226</v>
      </c>
      <c r="G53">
        <f xml:space="preserve"> Fig_futuro_Kaya!R53</f>
        <v>10.946687869749704</v>
      </c>
      <c r="H53">
        <f t="shared" si="2"/>
        <v>423749865526.83795</v>
      </c>
      <c r="I53" s="85"/>
      <c r="J53">
        <f xml:space="preserve"> Fig_futuro_Kaya!J53*10^6</f>
        <v>38710326864.97226</v>
      </c>
      <c r="K53">
        <f xml:space="preserve"> Fig_futuro_Kaya!S53</f>
        <v>9.9482428500571896</v>
      </c>
      <c r="L53">
        <f t="shared" si="3"/>
        <v>385099732457.83704</v>
      </c>
      <c r="M53" s="85"/>
      <c r="N53">
        <f xml:space="preserve"> Fig_futuro_Kaya!K53*10^6</f>
        <v>48149064297.423012</v>
      </c>
      <c r="O53">
        <f xml:space="preserve"> Fig_futuro_Kaya!Q53</f>
        <v>11.526380571867115</v>
      </c>
      <c r="P53">
        <f t="shared" si="4"/>
        <v>554984439271.39709</v>
      </c>
      <c r="Q53" s="85"/>
      <c r="R53">
        <f xml:space="preserve"> Fig_futuro_Kaya!K53*10^6</f>
        <v>48149064297.423012</v>
      </c>
      <c r="S53">
        <f xml:space="preserve"> Fig_futuro_Kaya!R53</f>
        <v>10.946687869749704</v>
      </c>
      <c r="T53">
        <f t="shared" si="5"/>
        <v>527072778084.39905</v>
      </c>
      <c r="U53" s="85"/>
      <c r="V53">
        <f xml:space="preserve"> Fig_futuro_Kaya!K53*10^6</f>
        <v>48149064297.423012</v>
      </c>
      <c r="W53">
        <f xml:space="preserve"> Fig_futuro_Kaya!S53</f>
        <v>9.9482428500571896</v>
      </c>
      <c r="X53">
        <f t="shared" si="6"/>
        <v>478998584633.78235</v>
      </c>
      <c r="Y53" s="85"/>
      <c r="Z53">
        <f xml:space="preserve"> Fig_futuro_Kaya!L53*10^6</f>
        <v>60338317075.785477</v>
      </c>
      <c r="AA53">
        <f xml:space="preserve"> Fig_futuro_Kaya!Q53</f>
        <v>11.526380571867115</v>
      </c>
      <c r="AB53">
        <f t="shared" si="9"/>
        <v>695482405681.49158</v>
      </c>
      <c r="AC53" s="85"/>
      <c r="AD53">
        <f xml:space="preserve"> Fig_futuro_Kaya!L53*10^6</f>
        <v>60338317075.785477</v>
      </c>
      <c r="AE53">
        <f xml:space="preserve"> Fig_futuro_Kaya!R53</f>
        <v>10.946687869749704</v>
      </c>
      <c r="AF53">
        <f t="shared" si="7"/>
        <v>660504723614.6123</v>
      </c>
      <c r="AG53" s="86"/>
      <c r="AH53">
        <f xml:space="preserve"> Fig_futuro_Kaya!L53*10^6</f>
        <v>60338317075.785477</v>
      </c>
      <c r="AI53">
        <f>Fig_futuro_Kaya!S53</f>
        <v>9.9482428500571896</v>
      </c>
      <c r="AJ53" s="47">
        <f t="shared" si="8"/>
        <v>600260231433.6665</v>
      </c>
    </row>
    <row r="54" spans="1:36" ht="15.75" x14ac:dyDescent="0.25">
      <c r="A54" s="96">
        <v>2050</v>
      </c>
      <c r="B54" s="97">
        <f xml:space="preserve"> Fig_futuro_Kaya!J54*10^6</f>
        <v>39884311482.926567</v>
      </c>
      <c r="C54" s="98">
        <f>Fig_futuro_Kaya!Q54</f>
        <v>11.41572731837719</v>
      </c>
      <c r="D54" s="97">
        <f t="shared" si="1"/>
        <v>455308424170.30988</v>
      </c>
      <c r="E54" s="95"/>
      <c r="F54" s="92">
        <f>Fig_futuro_Kaya!J54*10^6</f>
        <v>39884311482.926567</v>
      </c>
      <c r="G54" s="92">
        <f xml:space="preserve"> Fig_futuro_Kaya!R54</f>
        <v>10.798018309125176</v>
      </c>
      <c r="H54" s="92">
        <f t="shared" si="2"/>
        <v>430671525639.49255</v>
      </c>
      <c r="I54" s="95"/>
      <c r="J54" s="92">
        <f xml:space="preserve"> Fig_futuro_Kaya!J54*10^6</f>
        <v>39884311482.926567</v>
      </c>
      <c r="K54" s="92">
        <f xml:space="preserve"> Fig_futuro_Kaya!S54</f>
        <v>9.7611715579060245</v>
      </c>
      <c r="L54" s="92">
        <f t="shared" si="3"/>
        <v>389317606853.80743</v>
      </c>
      <c r="M54" s="95"/>
      <c r="N54" s="92">
        <f xml:space="preserve"> Fig_futuro_Kaya!K54*10^6</f>
        <v>50041156390.196922</v>
      </c>
      <c r="O54" s="92">
        <f xml:space="preserve"> Fig_futuro_Kaya!Q54</f>
        <v>11.41572731837719</v>
      </c>
      <c r="P54" s="92">
        <f t="shared" si="4"/>
        <v>571256196046.75635</v>
      </c>
      <c r="Q54" s="95"/>
      <c r="R54" s="92">
        <f xml:space="preserve"> Fig_futuro_Kaya!K54*10^6</f>
        <v>50041156390.196922</v>
      </c>
      <c r="S54" s="92">
        <f xml:space="preserve"> Fig_futuro_Kaya!R54</f>
        <v>10.798018309125176</v>
      </c>
      <c r="T54" s="92">
        <f t="shared" si="5"/>
        <v>540345322911.14264</v>
      </c>
      <c r="U54" s="95"/>
      <c r="V54" s="92">
        <f xml:space="preserve"> Fig_futuro_Kaya!K54*10^6</f>
        <v>50041156390.196922</v>
      </c>
      <c r="W54" s="92">
        <f xml:space="preserve"> Fig_futuro_Kaya!S54</f>
        <v>9.7611715579060245</v>
      </c>
      <c r="X54" s="92">
        <f t="shared" si="6"/>
        <v>488460312480.71753</v>
      </c>
      <c r="Y54" s="95"/>
      <c r="Z54" s="92">
        <f xml:space="preserve"> Fig_futuro_Kaya!L54*10^6</f>
        <v>63274042509.22863</v>
      </c>
      <c r="AA54" s="92">
        <f xml:space="preserve"> Fig_futuro_Kaya!Q54</f>
        <v>11.41572731837719</v>
      </c>
      <c r="AB54" s="92">
        <f t="shared" si="9"/>
        <v>722319215616.76086</v>
      </c>
      <c r="AC54" s="95"/>
      <c r="AD54" s="92">
        <f xml:space="preserve"> Fig_futuro_Kaya!L54*10^6</f>
        <v>63274042509.22863</v>
      </c>
      <c r="AE54" s="92">
        <f xml:space="preserve"> Fig_futuro_Kaya!R54</f>
        <v>10.798018309125176</v>
      </c>
      <c r="AF54" s="92">
        <f t="shared" si="7"/>
        <v>683234269507.01538</v>
      </c>
      <c r="AG54" s="93"/>
      <c r="AH54" s="92">
        <f xml:space="preserve"> Fig_futuro_Kaya!L54*10^6</f>
        <v>63274042509.22863</v>
      </c>
      <c r="AI54" s="92">
        <f>Fig_futuro_Kaya!S54</f>
        <v>9.7611715579060245</v>
      </c>
      <c r="AJ54" s="100">
        <f t="shared" si="8"/>
        <v>617628784094.81921</v>
      </c>
    </row>
    <row r="55" spans="1:36" ht="15.75" x14ac:dyDescent="0.25">
      <c r="A55" s="59"/>
      <c r="B55" s="84"/>
      <c r="C55" s="83"/>
      <c r="D55" s="84"/>
      <c r="E55" s="59"/>
      <c r="F55" s="59"/>
      <c r="G55" s="59"/>
      <c r="H55" s="59"/>
      <c r="I55" s="87"/>
      <c r="J55" s="59"/>
      <c r="K55" s="59"/>
      <c r="L55" s="59"/>
    </row>
    <row r="56" spans="1:36" ht="15.75" x14ac:dyDescent="0.25">
      <c r="M56" s="59"/>
      <c r="N56" s="59"/>
      <c r="O56" s="87"/>
      <c r="P56" s="83"/>
      <c r="Q56" s="84"/>
      <c r="R56" s="83"/>
      <c r="S56" s="83"/>
      <c r="T56" s="83"/>
    </row>
    <row r="58" spans="1:36" ht="15.75" x14ac:dyDescent="0.25">
      <c r="A58" s="82"/>
    </row>
    <row r="59" spans="1:36" ht="15.75" x14ac:dyDescent="0.25">
      <c r="A59" s="82"/>
    </row>
    <row r="60" spans="1:36" ht="15.75" x14ac:dyDescent="0.25">
      <c r="A60" s="82"/>
    </row>
    <row r="61" spans="1:36" ht="15.75" x14ac:dyDescent="0.25">
      <c r="A61" s="82"/>
    </row>
    <row r="62" spans="1:36" ht="15.75" x14ac:dyDescent="0.25">
      <c r="A62" s="82"/>
    </row>
    <row r="63" spans="1:36" ht="15.75" x14ac:dyDescent="0.25">
      <c r="A63" s="82"/>
    </row>
    <row r="64" spans="1:36" ht="15.75" x14ac:dyDescent="0.25">
      <c r="A64" s="82"/>
    </row>
    <row r="65" spans="1:1" ht="15.75" x14ac:dyDescent="0.25">
      <c r="A65" s="82"/>
    </row>
    <row r="66" spans="1:1" ht="15.75" x14ac:dyDescent="0.25">
      <c r="A66" s="82"/>
    </row>
    <row r="67" spans="1:1" ht="15.75" x14ac:dyDescent="0.25">
      <c r="A67" s="82"/>
    </row>
    <row r="68" spans="1:1" ht="15.75" x14ac:dyDescent="0.25">
      <c r="A68" s="82"/>
    </row>
    <row r="69" spans="1:1" ht="15.75" x14ac:dyDescent="0.25">
      <c r="A69" s="82"/>
    </row>
    <row r="70" spans="1:1" ht="15.75" x14ac:dyDescent="0.25">
      <c r="A70" s="82"/>
    </row>
    <row r="71" spans="1:1" ht="15.75" x14ac:dyDescent="0.25">
      <c r="A71" s="82"/>
    </row>
    <row r="72" spans="1:1" ht="15.75" x14ac:dyDescent="0.25">
      <c r="A72" s="82"/>
    </row>
    <row r="73" spans="1:1" ht="15.75" x14ac:dyDescent="0.25">
      <c r="A73" s="82"/>
    </row>
    <row r="74" spans="1:1" ht="15.75" x14ac:dyDescent="0.25">
      <c r="A74" s="82"/>
    </row>
    <row r="75" spans="1:1" ht="15.75" x14ac:dyDescent="0.25">
      <c r="A75" s="82"/>
    </row>
    <row r="76" spans="1:1" ht="15.75" x14ac:dyDescent="0.25">
      <c r="A76" s="82"/>
    </row>
    <row r="77" spans="1:1" ht="15.75" x14ac:dyDescent="0.25">
      <c r="A77" s="82"/>
    </row>
    <row r="78" spans="1:1" ht="15.75" x14ac:dyDescent="0.25">
      <c r="A78" s="82"/>
    </row>
    <row r="79" spans="1:1" ht="15.75" x14ac:dyDescent="0.25">
      <c r="A79" s="82"/>
    </row>
    <row r="80" spans="1:1" ht="15.75" x14ac:dyDescent="0.25">
      <c r="A80" s="82"/>
    </row>
    <row r="81" spans="1:1" ht="15.75" x14ac:dyDescent="0.25">
      <c r="A81" s="82"/>
    </row>
    <row r="82" spans="1:1" ht="15.75" x14ac:dyDescent="0.25">
      <c r="A82" s="82"/>
    </row>
    <row r="83" spans="1:1" ht="15.75" x14ac:dyDescent="0.25">
      <c r="A83" s="82"/>
    </row>
    <row r="84" spans="1:1" ht="15.75" x14ac:dyDescent="0.25">
      <c r="A84" s="82"/>
    </row>
    <row r="87" spans="1:1" ht="15.75" x14ac:dyDescent="0.25">
      <c r="A87" s="91"/>
    </row>
    <row r="88" spans="1:1" ht="15.75" x14ac:dyDescent="0.25">
      <c r="A88" s="82"/>
    </row>
    <row r="89" spans="1:1" ht="15.75" x14ac:dyDescent="0.25">
      <c r="A89" s="82"/>
    </row>
    <row r="90" spans="1:1" ht="15.75" x14ac:dyDescent="0.25">
      <c r="A90" s="82"/>
    </row>
    <row r="91" spans="1:1" ht="15.75" x14ac:dyDescent="0.25">
      <c r="A91" s="82"/>
    </row>
    <row r="92" spans="1:1" ht="15.75" x14ac:dyDescent="0.25">
      <c r="A92" s="82"/>
    </row>
    <row r="93" spans="1:1" ht="15.75" x14ac:dyDescent="0.25">
      <c r="A93" s="82"/>
    </row>
    <row r="94" spans="1:1" ht="15.75" x14ac:dyDescent="0.25">
      <c r="A94" s="82"/>
    </row>
    <row r="95" spans="1:1" ht="15.75" x14ac:dyDescent="0.25">
      <c r="A95" s="82"/>
    </row>
    <row r="96" spans="1:1" ht="15.75" x14ac:dyDescent="0.25">
      <c r="A96" s="82"/>
    </row>
    <row r="97" spans="1:1" ht="15.75" x14ac:dyDescent="0.25">
      <c r="A97" s="82"/>
    </row>
    <row r="98" spans="1:1" ht="15.75" x14ac:dyDescent="0.25">
      <c r="A98" s="82"/>
    </row>
    <row r="99" spans="1:1" ht="15.75" x14ac:dyDescent="0.25">
      <c r="A99" s="82"/>
    </row>
    <row r="100" spans="1:1" ht="15.75" x14ac:dyDescent="0.25">
      <c r="A100" s="82"/>
    </row>
    <row r="101" spans="1:1" ht="15.75" x14ac:dyDescent="0.25">
      <c r="A101" s="82"/>
    </row>
    <row r="102" spans="1:1" ht="15.75" x14ac:dyDescent="0.25">
      <c r="A102" s="82"/>
    </row>
    <row r="103" spans="1:1" ht="15.75" x14ac:dyDescent="0.25">
      <c r="A103" s="82"/>
    </row>
    <row r="104" spans="1:1" ht="15.75" x14ac:dyDescent="0.25">
      <c r="A104" s="82"/>
    </row>
    <row r="105" spans="1:1" ht="15.75" x14ac:dyDescent="0.25">
      <c r="A105" s="82"/>
    </row>
    <row r="106" spans="1:1" ht="15.75" x14ac:dyDescent="0.25">
      <c r="A106" s="82"/>
    </row>
    <row r="107" spans="1:1" ht="15.75" x14ac:dyDescent="0.25">
      <c r="A107" s="82"/>
    </row>
    <row r="108" spans="1:1" ht="15.75" x14ac:dyDescent="0.25">
      <c r="A108" s="82"/>
    </row>
    <row r="109" spans="1:1" ht="15.75" x14ac:dyDescent="0.25">
      <c r="A109" s="82"/>
    </row>
    <row r="110" spans="1:1" ht="15.75" x14ac:dyDescent="0.25">
      <c r="A110" s="82"/>
    </row>
    <row r="111" spans="1:1" ht="15.75" x14ac:dyDescent="0.25">
      <c r="A111" s="82"/>
    </row>
    <row r="112" spans="1:1" ht="15.75" x14ac:dyDescent="0.25">
      <c r="A112" s="82"/>
    </row>
    <row r="113" spans="1:1" ht="15.75" x14ac:dyDescent="0.25">
      <c r="A113" s="82"/>
    </row>
    <row r="114" spans="1:1" ht="15.75" x14ac:dyDescent="0.25">
      <c r="A114" s="82"/>
    </row>
  </sheetData>
  <mergeCells count="13">
    <mergeCell ref="A2:A3"/>
    <mergeCell ref="N1:X1"/>
    <mergeCell ref="Z1:AJ1"/>
    <mergeCell ref="A1:L1"/>
    <mergeCell ref="B2:D2"/>
    <mergeCell ref="Z2:AB2"/>
    <mergeCell ref="N2:P2"/>
    <mergeCell ref="F2:H2"/>
    <mergeCell ref="J2:L2"/>
    <mergeCell ref="R2:T2"/>
    <mergeCell ref="V2:X2"/>
    <mergeCell ref="AD2:AF2"/>
    <mergeCell ref="AH2:AJ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5AFF18D6C61848BCD084C8D331E236" ma:contentTypeVersion="13" ma:contentTypeDescription="Crie um novo documento." ma:contentTypeScope="" ma:versionID="c793b48f07a192aee3610c834bc2ff3b">
  <xsd:schema xmlns:xsd="http://www.w3.org/2001/XMLSchema" xmlns:xs="http://www.w3.org/2001/XMLSchema" xmlns:p="http://schemas.microsoft.com/office/2006/metadata/properties" xmlns:ns3="a429bc68-6480-487b-9bb1-18635c13ca62" xmlns:ns4="65dc19eb-9ded-4ede-812b-274ed74d1467" targetNamespace="http://schemas.microsoft.com/office/2006/metadata/properties" ma:root="true" ma:fieldsID="77553ce9783ac8aeb2731984a9637d17" ns3:_="" ns4:_="">
    <xsd:import namespace="a429bc68-6480-487b-9bb1-18635c13ca62"/>
    <xsd:import namespace="65dc19eb-9ded-4ede-812b-274ed74d1467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29bc68-6480-487b-9bb1-18635c13ca6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dc19eb-9ded-4ede-812b-274ed74d1467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29bc68-6480-487b-9bb1-18635c13ca62" xsi:nil="true"/>
  </documentManagement>
</p:properties>
</file>

<file path=customXml/itemProps1.xml><?xml version="1.0" encoding="utf-8"?>
<ds:datastoreItem xmlns:ds="http://schemas.openxmlformats.org/officeDocument/2006/customXml" ds:itemID="{EB3A8A1A-354F-41EE-8271-1D10EF476E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29bc68-6480-487b-9bb1-18635c13ca62"/>
    <ds:schemaRef ds:uri="65dc19eb-9ded-4ede-812b-274ed74d14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249FE0-A212-4C42-B05A-EEBD509BE40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9A333C1-7FBA-4963-9C6C-56A1B99D69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125C587-0D17-4E1E-9FA0-4DC4B3D7E608}">
  <ds:schemaRefs>
    <ds:schemaRef ds:uri="65dc19eb-9ded-4ede-812b-274ed74d1467"/>
    <ds:schemaRef ds:uri="a429bc68-6480-487b-9bb1-18635c13ca62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Fig_historico_Kaya</vt:lpstr>
      <vt:lpstr>Fig_futuro_Kaya</vt:lpstr>
      <vt:lpstr>Potencial energético</vt:lpstr>
      <vt:lpstr>Fig_futuro_Kaya!_ftn1</vt:lpstr>
      <vt:lpstr>Fig_futuro_Kaya!_ftnref1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Anderson Luiz Silva Pelluso</dc:creator>
  <cp:keywords/>
  <dc:description/>
  <cp:lastModifiedBy>Anderson Luiz Silva Pelluso</cp:lastModifiedBy>
  <cp:revision/>
  <cp:lastPrinted>2024-11-27T20:28:11Z</cp:lastPrinted>
  <dcterms:created xsi:type="dcterms:W3CDTF">2023-12-21T16:49:30Z</dcterms:created>
  <dcterms:modified xsi:type="dcterms:W3CDTF">2024-12-10T19:06:57Z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0x010100AE5AFF18D6C61848BCD084C8D331E236</vt:lpwstr>
  </property>
  <property fmtid="{D5CDD505-2E9C-101B-9397-08002B2CF9AE}" pid="3" name="MediaServiceImageTags">
    <vt:lpwstr/>
  </property>
</Properties>
</file>