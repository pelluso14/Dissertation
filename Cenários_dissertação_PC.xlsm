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365d821d86addd7/Dissertação/"/>
    </mc:Choice>
  </mc:AlternateContent>
  <xr:revisionPtr revIDLastSave="3" documentId="8_{F892A045-5EC2-443E-9AC6-FBDDFC6354BF}" xr6:coauthVersionLast="47" xr6:coauthVersionMax="47" xr10:uidLastSave="{3E02F67E-2685-452F-B622-405922D7A0B6}"/>
  <bookViews>
    <workbookView xWindow="-120" yWindow="-120" windowWidth="29040" windowHeight="15840" activeTab="1" xr2:uid="{615A2D99-C2AD-40A4-92BF-50112F683A1E}"/>
  </bookViews>
  <sheets>
    <sheet name="Fig_historico_Kaya" sheetId="39" r:id="rId1"/>
    <sheet name="Fig_futuro_Kaya" sheetId="38" r:id="rId2"/>
    <sheet name="Potencial energético" sheetId="42" r:id="rId3"/>
    <sheet name="PPI" sheetId="48" r:id="rId4"/>
    <sheet name="Preços Produtor Importador" sheetId="46" r:id="rId5"/>
    <sheet name="Preço do QAV" sheetId="45" r:id="rId6"/>
    <sheet name="Preço do SAF" sheetId="47" r:id="rId7"/>
    <sheet name="2030" sheetId="43" r:id="rId8"/>
    <sheet name="2040" sheetId="44" r:id="rId9"/>
  </sheets>
  <definedNames>
    <definedName name="_xlnm._FilterDatabase" localSheetId="4" hidden="1">'Preços Produtor Importador'!$A$1:$I$640</definedName>
    <definedName name="_ftn1" localSheetId="1">Fig_futuro_Kaya!$R$59</definedName>
    <definedName name="_ftnref1" localSheetId="1">Fig_futuro_Kaya!$R$56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28" i="48" l="1"/>
  <c r="R2" i="48"/>
  <c r="R3" i="48"/>
  <c r="R4" i="48"/>
  <c r="R5" i="48"/>
  <c r="R6" i="48"/>
  <c r="R7" i="48"/>
  <c r="R8" i="48"/>
  <c r="R9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R22" i="48"/>
  <c r="R23" i="48"/>
  <c r="R24" i="48"/>
  <c r="R25" i="48"/>
  <c r="R26" i="48"/>
  <c r="R27" i="48"/>
  <c r="R28" i="48"/>
  <c r="R29" i="48"/>
  <c r="R30" i="48"/>
  <c r="R31" i="48"/>
  <c r="R32" i="48"/>
  <c r="R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R99" i="48"/>
  <c r="R100" i="48"/>
  <c r="R101" i="48"/>
  <c r="R102" i="48"/>
  <c r="R103" i="48"/>
  <c r="R104" i="48"/>
  <c r="R105" i="48"/>
  <c r="R106" i="48"/>
  <c r="R107" i="48"/>
  <c r="R108" i="48"/>
  <c r="R109" i="48"/>
  <c r="R110" i="48"/>
  <c r="R111" i="48"/>
  <c r="R112" i="48"/>
  <c r="R113" i="48"/>
  <c r="R114" i="48"/>
  <c r="R115" i="48"/>
  <c r="R116" i="48"/>
  <c r="R117" i="48"/>
  <c r="R118" i="48"/>
  <c r="R119" i="48"/>
  <c r="R120" i="48"/>
  <c r="R121" i="48"/>
  <c r="R122" i="48"/>
  <c r="R123" i="48"/>
  <c r="R124" i="48"/>
  <c r="R125" i="48"/>
  <c r="R126" i="48"/>
  <c r="R127" i="48"/>
  <c r="R128" i="48"/>
  <c r="R129" i="48"/>
  <c r="R130" i="48"/>
  <c r="R131" i="48"/>
  <c r="R132" i="48"/>
  <c r="R133" i="48"/>
  <c r="R134" i="48"/>
  <c r="R135" i="48"/>
  <c r="R136" i="48"/>
  <c r="R137" i="48"/>
  <c r="R138" i="48"/>
  <c r="R139" i="48"/>
  <c r="R140" i="48"/>
  <c r="R141" i="48"/>
  <c r="R142" i="48"/>
  <c r="R143" i="48"/>
  <c r="R144" i="48"/>
  <c r="R145" i="48"/>
  <c r="R146" i="48"/>
  <c r="R147" i="48"/>
  <c r="R148" i="48"/>
  <c r="R149" i="48"/>
  <c r="R150" i="48"/>
  <c r="R151" i="48"/>
  <c r="R152" i="48"/>
  <c r="R153" i="48"/>
  <c r="R154" i="48"/>
  <c r="R155" i="48"/>
  <c r="R156" i="48"/>
  <c r="R157" i="48"/>
  <c r="R158" i="48"/>
  <c r="R159" i="48"/>
  <c r="R160" i="48"/>
  <c r="R161" i="48"/>
  <c r="R162" i="48"/>
  <c r="R163" i="48"/>
  <c r="R164" i="48"/>
  <c r="R165" i="48"/>
  <c r="R166" i="48"/>
  <c r="R167" i="48"/>
  <c r="R168" i="48"/>
  <c r="R169" i="48"/>
  <c r="R170" i="48"/>
  <c r="R171" i="48"/>
  <c r="R172" i="48"/>
  <c r="R173" i="48"/>
  <c r="R174" i="48"/>
  <c r="R175" i="48"/>
  <c r="R176" i="48"/>
  <c r="R177" i="48"/>
  <c r="R178" i="48"/>
  <c r="R179" i="48"/>
  <c r="R180" i="48"/>
  <c r="R181" i="48"/>
  <c r="R182" i="48"/>
  <c r="R183" i="48"/>
  <c r="R184" i="48"/>
  <c r="R185" i="48"/>
  <c r="R186" i="48"/>
  <c r="R187" i="48"/>
  <c r="R188" i="48"/>
  <c r="R189" i="48"/>
  <c r="R190" i="48"/>
  <c r="R191" i="48"/>
  <c r="R192" i="48"/>
  <c r="R193" i="48"/>
  <c r="R194" i="48"/>
  <c r="R195" i="48"/>
  <c r="R196" i="48"/>
  <c r="R197" i="48"/>
  <c r="R198" i="48"/>
  <c r="R199" i="48"/>
  <c r="R200" i="48"/>
  <c r="R201" i="48"/>
  <c r="R202" i="48"/>
  <c r="R203" i="48"/>
  <c r="R204" i="48"/>
  <c r="R205" i="48"/>
  <c r="R206" i="48"/>
  <c r="R207" i="48"/>
  <c r="R208" i="48"/>
  <c r="R209" i="48"/>
  <c r="R210" i="48"/>
  <c r="R211" i="48"/>
  <c r="R212" i="48"/>
  <c r="R213" i="48"/>
  <c r="R214" i="48"/>
  <c r="R215" i="48"/>
  <c r="R216" i="48"/>
  <c r="R217" i="48"/>
  <c r="R218" i="48"/>
  <c r="R219" i="48"/>
  <c r="R220" i="48"/>
  <c r="R221" i="48"/>
  <c r="R222" i="48"/>
  <c r="R223" i="48"/>
  <c r="R224" i="48"/>
  <c r="R225" i="48"/>
  <c r="R226" i="48"/>
  <c r="R227" i="48"/>
  <c r="R228" i="48"/>
  <c r="R229" i="48"/>
  <c r="R230" i="48"/>
  <c r="R231" i="48"/>
  <c r="R232" i="48"/>
  <c r="R233" i="48"/>
  <c r="R234" i="48"/>
  <c r="R235" i="48"/>
  <c r="R236" i="48"/>
  <c r="R237" i="48"/>
  <c r="R238" i="48"/>
  <c r="R239" i="48"/>
  <c r="R240" i="48"/>
  <c r="R241" i="48"/>
  <c r="R242" i="48"/>
  <c r="R243" i="48"/>
  <c r="R244" i="48"/>
  <c r="R245" i="48"/>
  <c r="R246" i="48"/>
  <c r="R247" i="48"/>
  <c r="R248" i="48"/>
  <c r="R249" i="48"/>
  <c r="R250" i="48"/>
  <c r="R251" i="48"/>
  <c r="R252" i="48"/>
  <c r="R253" i="48"/>
  <c r="R254" i="48"/>
  <c r="R255" i="48"/>
  <c r="R256" i="48"/>
  <c r="R257" i="48"/>
  <c r="R258" i="48"/>
  <c r="R259" i="48"/>
  <c r="R260" i="48"/>
  <c r="R261" i="48"/>
  <c r="R262" i="48"/>
  <c r="R263" i="48"/>
  <c r="R264" i="48"/>
  <c r="R265" i="48"/>
  <c r="R266" i="48"/>
  <c r="R267" i="48"/>
  <c r="R268" i="48"/>
  <c r="R269" i="48"/>
  <c r="R270" i="48"/>
  <c r="R272" i="48"/>
  <c r="R273" i="48"/>
  <c r="R274" i="48"/>
  <c r="R275" i="48"/>
  <c r="R276" i="48"/>
  <c r="R277" i="48"/>
  <c r="R278" i="48"/>
  <c r="R279" i="48"/>
  <c r="R280" i="48"/>
  <c r="R281" i="48"/>
  <c r="R282" i="48"/>
  <c r="R283" i="48"/>
  <c r="R284" i="48"/>
  <c r="R285" i="48"/>
  <c r="R286" i="48"/>
  <c r="R287" i="48"/>
  <c r="R288" i="48"/>
  <c r="R289" i="48"/>
  <c r="R290" i="48"/>
  <c r="R291" i="48"/>
  <c r="R292" i="48"/>
  <c r="R293" i="48"/>
  <c r="R294" i="48"/>
  <c r="R295" i="48"/>
  <c r="R296" i="48"/>
  <c r="R297" i="48"/>
  <c r="R298" i="48"/>
  <c r="R299" i="48"/>
  <c r="R300" i="48"/>
  <c r="R301" i="48"/>
  <c r="R302" i="48"/>
  <c r="R303" i="48"/>
  <c r="R304" i="48"/>
  <c r="R305" i="48"/>
  <c r="R306" i="48"/>
  <c r="R307" i="48"/>
  <c r="R308" i="48"/>
  <c r="R309" i="48"/>
  <c r="R310" i="48"/>
  <c r="R311" i="48"/>
  <c r="R312" i="48"/>
  <c r="R313" i="48"/>
  <c r="R314" i="48"/>
  <c r="R315" i="48"/>
  <c r="R316" i="48"/>
  <c r="R317" i="48"/>
  <c r="R318" i="48"/>
  <c r="R319" i="48"/>
  <c r="R320" i="48"/>
  <c r="R321" i="48"/>
  <c r="R322" i="48"/>
  <c r="R323" i="48"/>
  <c r="R324" i="48"/>
  <c r="R325" i="48"/>
  <c r="R326" i="48"/>
  <c r="R271" i="48"/>
  <c r="B10" i="43"/>
  <c r="B6" i="43"/>
  <c r="T57" i="43"/>
  <c r="J78" i="43"/>
  <c r="J50" i="43"/>
  <c r="T43" i="43"/>
  <c r="S43" i="43"/>
  <c r="O43" i="43"/>
  <c r="H43" i="43"/>
  <c r="R43" i="43"/>
  <c r="P43" i="43"/>
  <c r="F43" i="43"/>
  <c r="B14" i="43"/>
  <c r="N8" i="43"/>
  <c r="C4" i="43"/>
  <c r="D4" i="43"/>
  <c r="E4" i="43"/>
  <c r="F4" i="43"/>
  <c r="F6" i="43" s="1"/>
  <c r="G4" i="43"/>
  <c r="G6" i="43" s="1"/>
  <c r="H4" i="43"/>
  <c r="I4" i="43"/>
  <c r="J4" i="43"/>
  <c r="K4" i="43"/>
  <c r="L4" i="43"/>
  <c r="M4" i="43"/>
  <c r="N4" i="43"/>
  <c r="B4" i="43"/>
  <c r="J3" i="45"/>
  <c r="C3" i="43"/>
  <c r="D3" i="43"/>
  <c r="E3" i="43"/>
  <c r="F3" i="43"/>
  <c r="G3" i="43"/>
  <c r="H3" i="43"/>
  <c r="I3" i="43"/>
  <c r="J3" i="43"/>
  <c r="K3" i="43"/>
  <c r="L3" i="43"/>
  <c r="M3" i="43"/>
  <c r="N3" i="43"/>
  <c r="B3" i="43"/>
  <c r="M6" i="43"/>
  <c r="L6" i="43"/>
  <c r="E6" i="43"/>
  <c r="I635" i="46"/>
  <c r="R129" i="43"/>
  <c r="R128" i="43"/>
  <c r="R127" i="43"/>
  <c r="F127" i="43"/>
  <c r="H127" i="43" s="1"/>
  <c r="N127" i="43" s="1"/>
  <c r="K6" i="43"/>
  <c r="R122" i="43"/>
  <c r="R121" i="43"/>
  <c r="R120" i="43"/>
  <c r="F120" i="43"/>
  <c r="H120" i="43" s="1"/>
  <c r="N120" i="43" s="1"/>
  <c r="R115" i="43"/>
  <c r="R114" i="43"/>
  <c r="R113" i="43"/>
  <c r="F113" i="43"/>
  <c r="H113" i="43" s="1"/>
  <c r="N113" i="43" s="1"/>
  <c r="R108" i="43"/>
  <c r="R107" i="43"/>
  <c r="R106" i="43"/>
  <c r="F106" i="43"/>
  <c r="H106" i="43" s="1"/>
  <c r="N106" i="43" s="1"/>
  <c r="R101" i="43"/>
  <c r="R100" i="43"/>
  <c r="R99" i="43"/>
  <c r="F99" i="43"/>
  <c r="H99" i="43" s="1"/>
  <c r="N99" i="43" s="1"/>
  <c r="R94" i="43"/>
  <c r="R93" i="43"/>
  <c r="R92" i="43"/>
  <c r="F92" i="43"/>
  <c r="H92" i="43" s="1"/>
  <c r="N92" i="43" s="1"/>
  <c r="R87" i="43"/>
  <c r="R86" i="43"/>
  <c r="R85" i="43"/>
  <c r="F85" i="43"/>
  <c r="H85" i="43" s="1"/>
  <c r="N85" i="43" s="1"/>
  <c r="F78" i="43"/>
  <c r="H78" i="43" s="1"/>
  <c r="N78" i="43" s="1"/>
  <c r="R80" i="43"/>
  <c r="R79" i="43"/>
  <c r="R78" i="43"/>
  <c r="F71" i="43"/>
  <c r="F72" i="43" s="1"/>
  <c r="H72" i="43" s="1"/>
  <c r="N72" i="43" s="1"/>
  <c r="F64" i="43"/>
  <c r="F65" i="43" s="1"/>
  <c r="F66" i="43" s="1"/>
  <c r="H66" i="43" s="1"/>
  <c r="N66" i="43" s="1"/>
  <c r="F57" i="43"/>
  <c r="H57" i="43" s="1"/>
  <c r="N57" i="43" s="1"/>
  <c r="F50" i="43"/>
  <c r="F51" i="43" s="1"/>
  <c r="F52" i="43" s="1"/>
  <c r="H52" i="43" s="1"/>
  <c r="N52" i="43" s="1"/>
  <c r="F44" i="43"/>
  <c r="F45" i="43"/>
  <c r="R73" i="43"/>
  <c r="R72" i="43"/>
  <c r="R71" i="43"/>
  <c r="J68" i="44"/>
  <c r="J61" i="44"/>
  <c r="J54" i="44"/>
  <c r="J62" i="44"/>
  <c r="J63" i="44"/>
  <c r="J69" i="44"/>
  <c r="J70" i="44"/>
  <c r="J55" i="44"/>
  <c r="R70" i="44"/>
  <c r="R69" i="44"/>
  <c r="F69" i="44"/>
  <c r="F70" i="44" s="1"/>
  <c r="H70" i="44" s="1"/>
  <c r="N70" i="44" s="1"/>
  <c r="R68" i="44"/>
  <c r="F68" i="44"/>
  <c r="H68" i="44" s="1"/>
  <c r="N68" i="44" s="1"/>
  <c r="R63" i="44"/>
  <c r="R62" i="44"/>
  <c r="R61" i="44"/>
  <c r="F61" i="44"/>
  <c r="F62" i="44" s="1"/>
  <c r="R56" i="44"/>
  <c r="R55" i="44"/>
  <c r="F55" i="44"/>
  <c r="F56" i="44" s="1"/>
  <c r="H56" i="44" s="1"/>
  <c r="N56" i="44" s="1"/>
  <c r="R54" i="44"/>
  <c r="F54" i="44"/>
  <c r="H54" i="44" s="1"/>
  <c r="N54" i="44" s="1"/>
  <c r="R49" i="44"/>
  <c r="L49" i="44"/>
  <c r="J49" i="44"/>
  <c r="R48" i="44"/>
  <c r="L48" i="44"/>
  <c r="J48" i="44"/>
  <c r="R47" i="44"/>
  <c r="L47" i="44"/>
  <c r="J47" i="44"/>
  <c r="H47" i="44"/>
  <c r="N47" i="44" s="1"/>
  <c r="F47" i="44"/>
  <c r="F48" i="44" s="1"/>
  <c r="J14" i="44"/>
  <c r="J18" i="44" s="1"/>
  <c r="J30" i="44" s="1"/>
  <c r="F14" i="44"/>
  <c r="F18" i="44" s="1"/>
  <c r="F30" i="44" s="1"/>
  <c r="B14" i="44"/>
  <c r="B18" i="44" s="1"/>
  <c r="B30" i="44" s="1"/>
  <c r="J10" i="44"/>
  <c r="I10" i="44"/>
  <c r="I14" i="44" s="1"/>
  <c r="I18" i="44" s="1"/>
  <c r="I30" i="44" s="1"/>
  <c r="H10" i="44"/>
  <c r="H14" i="44" s="1"/>
  <c r="H18" i="44" s="1"/>
  <c r="H30" i="44" s="1"/>
  <c r="G10" i="44"/>
  <c r="G14" i="44" s="1"/>
  <c r="G18" i="44" s="1"/>
  <c r="G30" i="44" s="1"/>
  <c r="F10" i="44"/>
  <c r="E10" i="44"/>
  <c r="E14" i="44" s="1"/>
  <c r="E18" i="44" s="1"/>
  <c r="E30" i="44" s="1"/>
  <c r="D10" i="44"/>
  <c r="D14" i="44" s="1"/>
  <c r="D18" i="44" s="1"/>
  <c r="D30" i="44" s="1"/>
  <c r="C10" i="44"/>
  <c r="C14" i="44" s="1"/>
  <c r="C18" i="44" s="1"/>
  <c r="C30" i="44" s="1"/>
  <c r="B10" i="44"/>
  <c r="M7" i="44"/>
  <c r="R66" i="43"/>
  <c r="R65" i="43"/>
  <c r="R64" i="43"/>
  <c r="J43" i="43"/>
  <c r="J132" i="43" s="1"/>
  <c r="C6" i="43"/>
  <c r="R59" i="43"/>
  <c r="R58" i="43"/>
  <c r="F58" i="43"/>
  <c r="H58" i="43" s="1"/>
  <c r="N58" i="43" s="1"/>
  <c r="R57" i="43"/>
  <c r="R52" i="43"/>
  <c r="R51" i="43"/>
  <c r="R50" i="43"/>
  <c r="R44" i="43"/>
  <c r="R45" i="43"/>
  <c r="J45" i="43"/>
  <c r="L45" i="43" s="1"/>
  <c r="J44" i="43"/>
  <c r="L44" i="43" s="1"/>
  <c r="B53" i="38"/>
  <c r="C47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H30" i="38"/>
  <c r="H31" i="38" s="1"/>
  <c r="H32" i="38" s="1"/>
  <c r="H33" i="38" s="1"/>
  <c r="H34" i="38" s="1"/>
  <c r="H35" i="38" s="1"/>
  <c r="H36" i="38" s="1"/>
  <c r="H37" i="38" s="1"/>
  <c r="H38" i="38" s="1"/>
  <c r="H39" i="38" s="1"/>
  <c r="H40" i="38" s="1"/>
  <c r="H41" i="38" s="1"/>
  <c r="H42" i="38" s="1"/>
  <c r="H43" i="38" s="1"/>
  <c r="H44" i="38" s="1"/>
  <c r="H45" i="38" s="1"/>
  <c r="H46" i="38" s="1"/>
  <c r="H47" i="38" s="1"/>
  <c r="H48" i="38" s="1"/>
  <c r="H49" i="38" s="1"/>
  <c r="H50" i="38" s="1"/>
  <c r="H51" i="38" s="1"/>
  <c r="H52" i="38" s="1"/>
  <c r="H53" i="38" s="1"/>
  <c r="H54" i="38" s="1"/>
  <c r="H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29" i="38"/>
  <c r="H28" i="38"/>
  <c r="G28" i="38"/>
  <c r="F28" i="38"/>
  <c r="F29" i="38" s="1"/>
  <c r="D29" i="38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D51" i="38" s="1"/>
  <c r="D52" i="38" s="1"/>
  <c r="D53" i="38" s="1"/>
  <c r="D54" i="38" s="1"/>
  <c r="C30" i="38"/>
  <c r="C29" i="38"/>
  <c r="C28" i="38"/>
  <c r="K4" i="38"/>
  <c r="U40" i="39" a="1"/>
  <c r="U40" i="39" s="1"/>
  <c r="P39" i="39" a="1"/>
  <c r="P39" i="39" s="1"/>
  <c r="T40" i="39" a="1"/>
  <c r="T40" i="39" s="1"/>
  <c r="S40" i="39" a="1"/>
  <c r="S40" i="39" s="1"/>
  <c r="B30" i="38"/>
  <c r="B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4" i="38"/>
  <c r="B29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8" i="38"/>
  <c r="C49" i="38"/>
  <c r="C50" i="38"/>
  <c r="C51" i="38"/>
  <c r="C52" i="38"/>
  <c r="C53" i="38"/>
  <c r="C54" i="38"/>
  <c r="K54" i="38" s="1"/>
  <c r="R40" i="39" a="1"/>
  <c r="R40" i="39" s="1"/>
  <c r="P34" i="39"/>
  <c r="P35" i="39"/>
  <c r="P36" i="39"/>
  <c r="P37" i="39"/>
  <c r="G62" i="38"/>
  <c r="C27" i="42"/>
  <c r="C26" i="42"/>
  <c r="C25" i="42"/>
  <c r="C24" i="42"/>
  <c r="C23" i="42"/>
  <c r="C22" i="42"/>
  <c r="C21" i="42"/>
  <c r="C20" i="42"/>
  <c r="C18" i="42"/>
  <c r="C17" i="42"/>
  <c r="C16" i="42"/>
  <c r="C15" i="42"/>
  <c r="C14" i="42"/>
  <c r="C13" i="42"/>
  <c r="C12" i="42"/>
  <c r="C11" i="42"/>
  <c r="C10" i="42"/>
  <c r="C9" i="42"/>
  <c r="C8" i="42"/>
  <c r="C7" i="42"/>
  <c r="C6" i="42"/>
  <c r="C5" i="42"/>
  <c r="C4" i="42"/>
  <c r="N43" i="43" l="1"/>
  <c r="H6" i="43"/>
  <c r="I6" i="43"/>
  <c r="D6" i="43"/>
  <c r="Q5" i="43"/>
  <c r="N6" i="43"/>
  <c r="N10" i="43" s="1"/>
  <c r="N14" i="43" s="1"/>
  <c r="N26" i="43" s="1"/>
  <c r="N30" i="43" s="1"/>
  <c r="C126" i="43" s="1"/>
  <c r="H64" i="43"/>
  <c r="N64" i="43" s="1"/>
  <c r="F121" i="43"/>
  <c r="F122" i="43" s="1"/>
  <c r="H122" i="43" s="1"/>
  <c r="N122" i="43" s="1"/>
  <c r="H71" i="43"/>
  <c r="N71" i="43" s="1"/>
  <c r="F114" i="43"/>
  <c r="H114" i="43" s="1"/>
  <c r="N114" i="43" s="1"/>
  <c r="F93" i="43"/>
  <c r="F94" i="43" s="1"/>
  <c r="H94" i="43" s="1"/>
  <c r="N94" i="43" s="1"/>
  <c r="F107" i="43"/>
  <c r="F108" i="43" s="1"/>
  <c r="H108" i="43" s="1"/>
  <c r="N108" i="43" s="1"/>
  <c r="F128" i="43"/>
  <c r="F129" i="43" s="1"/>
  <c r="H129" i="43" s="1"/>
  <c r="N129" i="43" s="1"/>
  <c r="F86" i="43"/>
  <c r="F87" i="43" s="1"/>
  <c r="H87" i="43" s="1"/>
  <c r="N87" i="43" s="1"/>
  <c r="J6" i="43"/>
  <c r="F100" i="43"/>
  <c r="F101" i="43" s="1"/>
  <c r="H101" i="43" s="1"/>
  <c r="N101" i="43" s="1"/>
  <c r="F79" i="43"/>
  <c r="F80" i="43" s="1"/>
  <c r="H80" i="43" s="1"/>
  <c r="N80" i="43" s="1"/>
  <c r="F73" i="43"/>
  <c r="H73" i="43" s="1"/>
  <c r="N73" i="43" s="1"/>
  <c r="G36" i="44"/>
  <c r="G35" i="44"/>
  <c r="G34" i="44"/>
  <c r="D36" i="44"/>
  <c r="D35" i="44"/>
  <c r="D34" i="44"/>
  <c r="O48" i="44"/>
  <c r="P48" i="44" s="1"/>
  <c r="S48" i="44" s="1"/>
  <c r="T48" i="44" s="1"/>
  <c r="I35" i="44"/>
  <c r="I36" i="44"/>
  <c r="I34" i="44"/>
  <c r="J34" i="44"/>
  <c r="J36" i="44"/>
  <c r="J35" i="44"/>
  <c r="C36" i="44"/>
  <c r="C34" i="44"/>
  <c r="C35" i="44"/>
  <c r="B34" i="44"/>
  <c r="B35" i="44"/>
  <c r="B36" i="44"/>
  <c r="H36" i="44"/>
  <c r="H35" i="44"/>
  <c r="H34" i="44"/>
  <c r="F34" i="44"/>
  <c r="F35" i="44"/>
  <c r="F36" i="44"/>
  <c r="E35" i="44"/>
  <c r="E34" i="44"/>
  <c r="E36" i="44"/>
  <c r="F49" i="44"/>
  <c r="H49" i="44" s="1"/>
  <c r="H48" i="44"/>
  <c r="N48" i="44" s="1"/>
  <c r="H62" i="44"/>
  <c r="N62" i="44" s="1"/>
  <c r="F63" i="44"/>
  <c r="H63" i="44" s="1"/>
  <c r="N63" i="44" s="1"/>
  <c r="H55" i="44"/>
  <c r="N55" i="44" s="1"/>
  <c r="H61" i="44"/>
  <c r="N61" i="44" s="1"/>
  <c r="H69" i="44"/>
  <c r="N69" i="44" s="1"/>
  <c r="O47" i="44"/>
  <c r="P47" i="44" s="1"/>
  <c r="S47" i="44" s="1"/>
  <c r="T47" i="44" s="1"/>
  <c r="D46" i="44" s="1"/>
  <c r="H65" i="43"/>
  <c r="N65" i="43" s="1"/>
  <c r="F59" i="43"/>
  <c r="H59" i="43" s="1"/>
  <c r="N59" i="43" s="1"/>
  <c r="L43" i="43"/>
  <c r="H50" i="43"/>
  <c r="N50" i="43" s="1"/>
  <c r="H45" i="43"/>
  <c r="O45" i="43" s="1"/>
  <c r="H51" i="43"/>
  <c r="N51" i="43" s="1"/>
  <c r="J54" i="38"/>
  <c r="B95" i="38"/>
  <c r="B96" i="38" s="1"/>
  <c r="B97" i="38" s="1"/>
  <c r="B98" i="38" s="1"/>
  <c r="B99" i="38" s="1"/>
  <c r="B100" i="38" s="1"/>
  <c r="B101" i="38" s="1"/>
  <c r="B102" i="38" s="1"/>
  <c r="B103" i="38" s="1"/>
  <c r="B104" i="38" s="1"/>
  <c r="B105" i="38" s="1"/>
  <c r="B106" i="38" s="1"/>
  <c r="C29" i="39"/>
  <c r="D28" i="38"/>
  <c r="J4" i="38"/>
  <c r="B4" i="42" s="1"/>
  <c r="D4" i="42" s="1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20" i="38"/>
  <c r="W21" i="38"/>
  <c r="W22" i="38"/>
  <c r="W23" i="38"/>
  <c r="W24" i="38"/>
  <c r="W25" i="38"/>
  <c r="W26" i="38"/>
  <c r="W27" i="38"/>
  <c r="W54" i="38" s="1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20" i="38"/>
  <c r="V21" i="38"/>
  <c r="V22" i="38"/>
  <c r="V23" i="38"/>
  <c r="V24" i="38"/>
  <c r="V25" i="38"/>
  <c r="V26" i="38"/>
  <c r="V27" i="38"/>
  <c r="V54" i="38" s="1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20" i="38"/>
  <c r="U21" i="38"/>
  <c r="U22" i="38"/>
  <c r="U23" i="38"/>
  <c r="U24" i="38"/>
  <c r="U25" i="38"/>
  <c r="U26" i="38"/>
  <c r="U27" i="38"/>
  <c r="U28" i="38" s="1"/>
  <c r="U29" i="38" s="1"/>
  <c r="U30" i="38" s="1"/>
  <c r="U31" i="38" s="1"/>
  <c r="U32" i="38" s="1"/>
  <c r="U33" i="38" s="1"/>
  <c r="U34" i="38" s="1"/>
  <c r="U35" i="38" s="1"/>
  <c r="U36" i="38" s="1"/>
  <c r="U37" i="38" s="1"/>
  <c r="U38" i="38" s="1"/>
  <c r="U39" i="38" s="1"/>
  <c r="U40" i="38" s="1"/>
  <c r="U41" i="38" s="1"/>
  <c r="U42" i="38" s="1"/>
  <c r="U43" i="38" s="1"/>
  <c r="U44" i="38" s="1"/>
  <c r="U45" i="38" s="1"/>
  <c r="U46" i="38" s="1"/>
  <c r="U47" i="38" s="1"/>
  <c r="U48" i="38" s="1"/>
  <c r="U49" i="38" s="1"/>
  <c r="U50" i="38" s="1"/>
  <c r="U51" i="38" s="1"/>
  <c r="U52" i="38" s="1"/>
  <c r="U53" i="38" s="1"/>
  <c r="U54" i="38" s="1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20" i="38"/>
  <c r="S21" i="38"/>
  <c r="S22" i="38"/>
  <c r="S23" i="38"/>
  <c r="S24" i="38"/>
  <c r="S25" i="38"/>
  <c r="S26" i="38"/>
  <c r="S27" i="38"/>
  <c r="S54" i="38" s="1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20" i="38"/>
  <c r="R21" i="38"/>
  <c r="R22" i="38"/>
  <c r="R23" i="38"/>
  <c r="R24" i="38"/>
  <c r="R25" i="38"/>
  <c r="R26" i="38"/>
  <c r="R27" i="38"/>
  <c r="R54" i="38" s="1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30" i="39"/>
  <c r="K31" i="39"/>
  <c r="K32" i="39"/>
  <c r="K33" i="39"/>
  <c r="K34" i="39"/>
  <c r="K35" i="39"/>
  <c r="K36" i="39"/>
  <c r="K37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30" i="39"/>
  <c r="L31" i="39"/>
  <c r="L32" i="39"/>
  <c r="L33" i="39"/>
  <c r="L34" i="39"/>
  <c r="L35" i="39"/>
  <c r="L36" i="39"/>
  <c r="L37" i="39"/>
  <c r="L14" i="39"/>
  <c r="Q13" i="38"/>
  <c r="Q15" i="38"/>
  <c r="Q16" i="38"/>
  <c r="Q27" i="38"/>
  <c r="Q28" i="38" s="1"/>
  <c r="O28" i="42" s="1"/>
  <c r="B28" i="38"/>
  <c r="O27" i="38"/>
  <c r="O26" i="38"/>
  <c r="O25" i="38"/>
  <c r="O24" i="38"/>
  <c r="O23" i="38"/>
  <c r="O22" i="38"/>
  <c r="O21" i="38"/>
  <c r="O20" i="38"/>
  <c r="O19" i="38"/>
  <c r="O18" i="38"/>
  <c r="O17" i="38"/>
  <c r="O16" i="38"/>
  <c r="O15" i="38"/>
  <c r="O14" i="38"/>
  <c r="O13" i="38"/>
  <c r="O12" i="38"/>
  <c r="O11" i="38"/>
  <c r="O10" i="38"/>
  <c r="O9" i="38"/>
  <c r="O8" i="38"/>
  <c r="O7" i="38"/>
  <c r="O6" i="38"/>
  <c r="O5" i="38"/>
  <c r="O4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L27" i="38"/>
  <c r="L26" i="38"/>
  <c r="L25" i="38"/>
  <c r="L24" i="38"/>
  <c r="L23" i="38"/>
  <c r="L22" i="38"/>
  <c r="L21" i="38"/>
  <c r="L20" i="38"/>
  <c r="L19" i="38"/>
  <c r="L18" i="38"/>
  <c r="L17" i="38"/>
  <c r="L16" i="38"/>
  <c r="L15" i="38"/>
  <c r="L14" i="38"/>
  <c r="L13" i="38"/>
  <c r="L12" i="38"/>
  <c r="L11" i="38"/>
  <c r="L10" i="38"/>
  <c r="L9" i="38"/>
  <c r="L8" i="38"/>
  <c r="L7" i="38"/>
  <c r="L6" i="38"/>
  <c r="L5" i="38"/>
  <c r="L4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Q5" i="38"/>
  <c r="Q6" i="38"/>
  <c r="Q7" i="38"/>
  <c r="Q8" i="38"/>
  <c r="Q9" i="38"/>
  <c r="Q10" i="38"/>
  <c r="Q11" i="38"/>
  <c r="Q12" i="38"/>
  <c r="Q14" i="38"/>
  <c r="Q17" i="38"/>
  <c r="Q18" i="38"/>
  <c r="Q20" i="38"/>
  <c r="Q21" i="38"/>
  <c r="Q22" i="38"/>
  <c r="Q23" i="38"/>
  <c r="Q24" i="38"/>
  <c r="Q25" i="38"/>
  <c r="Q26" i="38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P31" i="39"/>
  <c r="P32" i="39"/>
  <c r="P33" i="39"/>
  <c r="P5" i="39"/>
  <c r="N31" i="43" l="1"/>
  <c r="N32" i="43"/>
  <c r="H121" i="43"/>
  <c r="N121" i="43" s="1"/>
  <c r="H100" i="43"/>
  <c r="N100" i="43" s="1"/>
  <c r="F115" i="43"/>
  <c r="H115" i="43" s="1"/>
  <c r="N115" i="43" s="1"/>
  <c r="H107" i="43"/>
  <c r="N107" i="43" s="1"/>
  <c r="H86" i="43"/>
  <c r="N86" i="43" s="1"/>
  <c r="H93" i="43"/>
  <c r="N93" i="43" s="1"/>
  <c r="H128" i="43"/>
  <c r="N128" i="43" s="1"/>
  <c r="H79" i="43"/>
  <c r="N79" i="43" s="1"/>
  <c r="H44" i="43"/>
  <c r="O44" i="43" s="1"/>
  <c r="N45" i="43"/>
  <c r="P45" i="43" s="1"/>
  <c r="S45" i="43" s="1"/>
  <c r="T45" i="43" s="1"/>
  <c r="J56" i="44"/>
  <c r="N49" i="44"/>
  <c r="O49" i="44"/>
  <c r="P49" i="44" s="1"/>
  <c r="S49" i="44" s="1"/>
  <c r="T49" i="44" s="1"/>
  <c r="L55" i="44"/>
  <c r="O55" i="44" s="1"/>
  <c r="P55" i="44" s="1"/>
  <c r="S55" i="44" s="1"/>
  <c r="T55" i="44" s="1"/>
  <c r="B26" i="43"/>
  <c r="B30" i="43" s="1"/>
  <c r="C42" i="43" s="1"/>
  <c r="O41" i="38"/>
  <c r="N29" i="38"/>
  <c r="L31" i="38"/>
  <c r="L32" i="38"/>
  <c r="L33" i="38"/>
  <c r="L39" i="38"/>
  <c r="L34" i="38"/>
  <c r="L37" i="38"/>
  <c r="L38" i="38"/>
  <c r="N28" i="38"/>
  <c r="L28" i="38"/>
  <c r="S54" i="42"/>
  <c r="AE54" i="42"/>
  <c r="R28" i="38"/>
  <c r="S28" i="42" s="1"/>
  <c r="R29" i="38"/>
  <c r="R30" i="38" s="1"/>
  <c r="G54" i="42"/>
  <c r="W28" i="38"/>
  <c r="W29" i="38" s="1"/>
  <c r="W30" i="38" s="1"/>
  <c r="W31" i="38" s="1"/>
  <c r="W32" i="38" s="1"/>
  <c r="W33" i="38" s="1"/>
  <c r="W34" i="38" s="1"/>
  <c r="W35" i="38" s="1"/>
  <c r="W36" i="38" s="1"/>
  <c r="W37" i="38" s="1"/>
  <c r="W38" i="38" s="1"/>
  <c r="W39" i="38" s="1"/>
  <c r="W40" i="38" s="1"/>
  <c r="W41" i="38" s="1"/>
  <c r="W42" i="38" s="1"/>
  <c r="W43" i="38" s="1"/>
  <c r="W44" i="38" s="1"/>
  <c r="W45" i="38" s="1"/>
  <c r="W46" i="38" s="1"/>
  <c r="W47" i="38" s="1"/>
  <c r="W48" i="38" s="1"/>
  <c r="W49" i="38" s="1"/>
  <c r="W50" i="38" s="1"/>
  <c r="W51" i="38" s="1"/>
  <c r="W52" i="38" s="1"/>
  <c r="W53" i="38" s="1"/>
  <c r="Q29" i="38"/>
  <c r="O29" i="42" s="1"/>
  <c r="AA28" i="42"/>
  <c r="AI54" i="42"/>
  <c r="S28" i="38"/>
  <c r="W54" i="42"/>
  <c r="K54" i="42"/>
  <c r="B107" i="38"/>
  <c r="C100" i="38"/>
  <c r="D100" i="38" s="1"/>
  <c r="C99" i="38"/>
  <c r="D99" i="38" s="1"/>
  <c r="C101" i="38"/>
  <c r="D101" i="38" s="1"/>
  <c r="C94" i="38"/>
  <c r="D94" i="38" s="1"/>
  <c r="C98" i="38"/>
  <c r="D98" i="38" s="1"/>
  <c r="C105" i="38"/>
  <c r="D105" i="38" s="1"/>
  <c r="C97" i="38"/>
  <c r="D97" i="38" s="1"/>
  <c r="C104" i="38"/>
  <c r="D104" i="38" s="1"/>
  <c r="C96" i="38"/>
  <c r="D96" i="38" s="1"/>
  <c r="C103" i="38"/>
  <c r="D103" i="38" s="1"/>
  <c r="C95" i="38"/>
  <c r="D95" i="38" s="1"/>
  <c r="C102" i="38"/>
  <c r="D102" i="38" s="1"/>
  <c r="C28" i="42"/>
  <c r="O59" i="38"/>
  <c r="N59" i="38"/>
  <c r="M59" i="38"/>
  <c r="O58" i="38"/>
  <c r="N58" i="38"/>
  <c r="M58" i="38"/>
  <c r="L58" i="38"/>
  <c r="K58" i="38"/>
  <c r="J58" i="38"/>
  <c r="J31" i="39"/>
  <c r="J23" i="39"/>
  <c r="J15" i="39"/>
  <c r="L99" i="39"/>
  <c r="L97" i="39"/>
  <c r="J14" i="39"/>
  <c r="Q4" i="38" s="1"/>
  <c r="J16" i="39"/>
  <c r="J17" i="39"/>
  <c r="J18" i="39"/>
  <c r="J19" i="39"/>
  <c r="J20" i="39"/>
  <c r="J21" i="39"/>
  <c r="J22" i="39"/>
  <c r="J24" i="39"/>
  <c r="J25" i="39"/>
  <c r="J26" i="39"/>
  <c r="J27" i="39"/>
  <c r="J28" i="39"/>
  <c r="J29" i="39"/>
  <c r="J30" i="39"/>
  <c r="J32" i="39"/>
  <c r="J33" i="39"/>
  <c r="J34" i="39"/>
  <c r="J35" i="39"/>
  <c r="J36" i="39"/>
  <c r="J37" i="39"/>
  <c r="F15" i="39"/>
  <c r="H15" i="39" s="1"/>
  <c r="F16" i="39"/>
  <c r="H16" i="39" s="1"/>
  <c r="F17" i="39"/>
  <c r="H17" i="39" s="1"/>
  <c r="F18" i="39"/>
  <c r="H18" i="39" s="1"/>
  <c r="F19" i="39"/>
  <c r="H19" i="39" s="1"/>
  <c r="F20" i="39"/>
  <c r="H20" i="39" s="1"/>
  <c r="F21" i="39"/>
  <c r="H21" i="39" s="1"/>
  <c r="F22" i="39"/>
  <c r="H22" i="39" s="1"/>
  <c r="F23" i="39"/>
  <c r="H23" i="39" s="1"/>
  <c r="F24" i="39"/>
  <c r="H24" i="39" s="1"/>
  <c r="F25" i="39"/>
  <c r="H25" i="39" s="1"/>
  <c r="F26" i="39"/>
  <c r="H26" i="39" s="1"/>
  <c r="F27" i="39"/>
  <c r="H27" i="39" s="1"/>
  <c r="F28" i="39"/>
  <c r="H28" i="39" s="1"/>
  <c r="F29" i="39"/>
  <c r="H29" i="39" s="1"/>
  <c r="L29" i="39" s="1"/>
  <c r="F30" i="39"/>
  <c r="H30" i="39" s="1"/>
  <c r="F31" i="39"/>
  <c r="H31" i="39" s="1"/>
  <c r="F32" i="39"/>
  <c r="H32" i="39" s="1"/>
  <c r="F33" i="39"/>
  <c r="H33" i="39" s="1"/>
  <c r="F34" i="39"/>
  <c r="H34" i="39" s="1"/>
  <c r="F35" i="39"/>
  <c r="H35" i="39" s="1"/>
  <c r="F36" i="39"/>
  <c r="H36" i="39" s="1"/>
  <c r="F37" i="39"/>
  <c r="H37" i="39" s="1"/>
  <c r="F14" i="39"/>
  <c r="H14" i="39" s="1"/>
  <c r="M4" i="38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50" i="39"/>
  <c r="D15" i="39"/>
  <c r="G15" i="39" s="1"/>
  <c r="D16" i="39"/>
  <c r="G16" i="39" s="1"/>
  <c r="D17" i="39"/>
  <c r="G17" i="39" s="1"/>
  <c r="D18" i="39"/>
  <c r="G18" i="39" s="1"/>
  <c r="D19" i="39"/>
  <c r="G19" i="39" s="1"/>
  <c r="D20" i="39"/>
  <c r="G20" i="39" s="1"/>
  <c r="D21" i="39"/>
  <c r="G21" i="39" s="1"/>
  <c r="D22" i="39"/>
  <c r="G22" i="39" s="1"/>
  <c r="D23" i="39"/>
  <c r="G23" i="39" s="1"/>
  <c r="D24" i="39"/>
  <c r="G24" i="39" s="1"/>
  <c r="D25" i="39"/>
  <c r="G25" i="39" s="1"/>
  <c r="D26" i="39"/>
  <c r="G26" i="39" s="1"/>
  <c r="D27" i="39"/>
  <c r="G27" i="39" s="1"/>
  <c r="D28" i="39"/>
  <c r="G28" i="39" s="1"/>
  <c r="D29" i="39"/>
  <c r="G29" i="39" s="1"/>
  <c r="K29" i="39" s="1"/>
  <c r="C19" i="42" s="1"/>
  <c r="D30" i="39"/>
  <c r="G30" i="39" s="1"/>
  <c r="D31" i="39"/>
  <c r="G31" i="39" s="1"/>
  <c r="D32" i="39"/>
  <c r="G32" i="39" s="1"/>
  <c r="D33" i="39"/>
  <c r="G33" i="39" s="1"/>
  <c r="D34" i="39"/>
  <c r="G34" i="39" s="1"/>
  <c r="D35" i="39"/>
  <c r="G35" i="39" s="1"/>
  <c r="D36" i="39"/>
  <c r="G36" i="39" s="1"/>
  <c r="D37" i="39"/>
  <c r="G37" i="39" s="1"/>
  <c r="D14" i="39"/>
  <c r="G14" i="39" s="1"/>
  <c r="D42" i="43" l="1"/>
  <c r="A49" i="43"/>
  <c r="C8" i="43" s="1"/>
  <c r="C10" i="43" s="1"/>
  <c r="C14" i="43" s="1"/>
  <c r="C26" i="43" s="1"/>
  <c r="L93" i="39"/>
  <c r="L90" i="39"/>
  <c r="L94" i="39"/>
  <c r="L98" i="39"/>
  <c r="L100" i="39"/>
  <c r="B31" i="43"/>
  <c r="B32" i="43"/>
  <c r="N44" i="43"/>
  <c r="P44" i="43" s="1"/>
  <c r="S44" i="43" s="1"/>
  <c r="T44" i="43" s="1"/>
  <c r="L69" i="44"/>
  <c r="O69" i="44" s="1"/>
  <c r="P69" i="44" s="1"/>
  <c r="S69" i="44" s="1"/>
  <c r="T69" i="44" s="1"/>
  <c r="L62" i="44"/>
  <c r="O62" i="44" s="1"/>
  <c r="P62" i="44" s="1"/>
  <c r="S62" i="44" s="1"/>
  <c r="T62" i="44" s="1"/>
  <c r="L54" i="44"/>
  <c r="O54" i="44" s="1"/>
  <c r="P54" i="44" s="1"/>
  <c r="S54" i="44" s="1"/>
  <c r="T54" i="44" s="1"/>
  <c r="D53" i="44" s="1"/>
  <c r="L56" i="44"/>
  <c r="O56" i="44" s="1"/>
  <c r="P56" i="44" s="1"/>
  <c r="S56" i="44" s="1"/>
  <c r="T56" i="44" s="1"/>
  <c r="L89" i="39"/>
  <c r="L92" i="39"/>
  <c r="L87" i="39"/>
  <c r="L77" i="39"/>
  <c r="L83" i="39"/>
  <c r="L79" i="39"/>
  <c r="L85" i="39"/>
  <c r="L82" i="39"/>
  <c r="L80" i="39"/>
  <c r="L95" i="39"/>
  <c r="L86" i="39"/>
  <c r="L91" i="39"/>
  <c r="L88" i="39"/>
  <c r="L84" i="39"/>
  <c r="L78" i="39"/>
  <c r="L81" i="39"/>
  <c r="L96" i="39"/>
  <c r="AD28" i="42"/>
  <c r="Z28" i="42"/>
  <c r="AB28" i="42" s="1"/>
  <c r="AH28" i="42"/>
  <c r="AD33" i="42"/>
  <c r="AH33" i="42"/>
  <c r="Z33" i="42"/>
  <c r="L35" i="38"/>
  <c r="AD31" i="42"/>
  <c r="Z31" i="42"/>
  <c r="AH31" i="42"/>
  <c r="Z39" i="42"/>
  <c r="AD39" i="42"/>
  <c r="AH39" i="42"/>
  <c r="B108" i="38"/>
  <c r="L40" i="38"/>
  <c r="S29" i="42"/>
  <c r="AE29" i="42"/>
  <c r="Z38" i="42"/>
  <c r="AD38" i="42"/>
  <c r="AH38" i="42"/>
  <c r="AD34" i="42"/>
  <c r="AH34" i="42"/>
  <c r="Z34" i="42"/>
  <c r="K28" i="38"/>
  <c r="L30" i="38"/>
  <c r="Z37" i="42"/>
  <c r="AD37" i="42"/>
  <c r="AH37" i="42"/>
  <c r="AH32" i="42"/>
  <c r="Z32" i="42"/>
  <c r="AD32" i="42"/>
  <c r="S30" i="42"/>
  <c r="AE30" i="42"/>
  <c r="L29" i="38"/>
  <c r="L36" i="38"/>
  <c r="AA29" i="42"/>
  <c r="Q30" i="38"/>
  <c r="O30" i="42" s="1"/>
  <c r="R31" i="38"/>
  <c r="G30" i="42"/>
  <c r="S29" i="38"/>
  <c r="W28" i="42"/>
  <c r="K28" i="42"/>
  <c r="AI28" i="42"/>
  <c r="G29" i="42"/>
  <c r="G28" i="42"/>
  <c r="AE28" i="42"/>
  <c r="C106" i="38"/>
  <c r="D106" i="38" s="1"/>
  <c r="K29" i="38"/>
  <c r="Q19" i="38"/>
  <c r="S19" i="38"/>
  <c r="R19" i="38"/>
  <c r="V19" i="38"/>
  <c r="W19" i="38"/>
  <c r="U19" i="38"/>
  <c r="C29" i="42"/>
  <c r="O28" i="38"/>
  <c r="K30" i="38"/>
  <c r="M54" i="38"/>
  <c r="J35" i="38"/>
  <c r="B35" i="42" s="1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J5" i="38"/>
  <c r="B5" i="42" s="1"/>
  <c r="D5" i="42" s="1"/>
  <c r="J6" i="38"/>
  <c r="B6" i="42" s="1"/>
  <c r="D6" i="42" s="1"/>
  <c r="J7" i="38"/>
  <c r="B7" i="42" s="1"/>
  <c r="D7" i="42" s="1"/>
  <c r="J8" i="38"/>
  <c r="B8" i="42" s="1"/>
  <c r="D8" i="42" s="1"/>
  <c r="J9" i="38"/>
  <c r="B9" i="42" s="1"/>
  <c r="D9" i="42" s="1"/>
  <c r="J10" i="38"/>
  <c r="B10" i="42" s="1"/>
  <c r="D10" i="42" s="1"/>
  <c r="J11" i="38"/>
  <c r="B11" i="42" s="1"/>
  <c r="D11" i="42" s="1"/>
  <c r="J12" i="38"/>
  <c r="B12" i="42" s="1"/>
  <c r="D12" i="42" s="1"/>
  <c r="J13" i="38"/>
  <c r="B13" i="42" s="1"/>
  <c r="D13" i="42" s="1"/>
  <c r="J14" i="38"/>
  <c r="B14" i="42" s="1"/>
  <c r="D14" i="42" s="1"/>
  <c r="J15" i="38"/>
  <c r="B15" i="42" s="1"/>
  <c r="D15" i="42" s="1"/>
  <c r="J16" i="38"/>
  <c r="B16" i="42" s="1"/>
  <c r="D16" i="42" s="1"/>
  <c r="J17" i="38"/>
  <c r="B17" i="42" s="1"/>
  <c r="D17" i="42" s="1"/>
  <c r="J18" i="38"/>
  <c r="B18" i="42" s="1"/>
  <c r="D18" i="42" s="1"/>
  <c r="J19" i="38"/>
  <c r="B19" i="42" s="1"/>
  <c r="D19" i="42" s="1"/>
  <c r="J20" i="38"/>
  <c r="B20" i="42" s="1"/>
  <c r="D20" i="42" s="1"/>
  <c r="J21" i="38"/>
  <c r="B21" i="42" s="1"/>
  <c r="D21" i="42" s="1"/>
  <c r="J22" i="38"/>
  <c r="B22" i="42" s="1"/>
  <c r="D22" i="42" s="1"/>
  <c r="J23" i="38"/>
  <c r="B23" i="42" s="1"/>
  <c r="D23" i="42" s="1"/>
  <c r="J24" i="38"/>
  <c r="B24" i="42" s="1"/>
  <c r="D24" i="42" s="1"/>
  <c r="J25" i="38"/>
  <c r="B25" i="42" s="1"/>
  <c r="D25" i="42" s="1"/>
  <c r="J26" i="38"/>
  <c r="B26" i="42" s="1"/>
  <c r="D26" i="42" s="1"/>
  <c r="J27" i="38"/>
  <c r="B27" i="42" s="1"/>
  <c r="D27" i="42" s="1"/>
  <c r="J28" i="38"/>
  <c r="B28" i="42" s="1"/>
  <c r="J29" i="38"/>
  <c r="B29" i="42" s="1"/>
  <c r="J30" i="38"/>
  <c r="B30" i="42" s="1"/>
  <c r="J31" i="38"/>
  <c r="B31" i="42" s="1"/>
  <c r="J32" i="38"/>
  <c r="B32" i="42" s="1"/>
  <c r="J33" i="38"/>
  <c r="B33" i="42" s="1"/>
  <c r="J34" i="38"/>
  <c r="B34" i="42" s="1"/>
  <c r="C31" i="43" l="1"/>
  <c r="C32" i="43"/>
  <c r="C30" i="43"/>
  <c r="L61" i="44"/>
  <c r="O61" i="44" s="1"/>
  <c r="P61" i="44" s="1"/>
  <c r="S61" i="44" s="1"/>
  <c r="T61" i="44" s="1"/>
  <c r="L68" i="44"/>
  <c r="O68" i="44" s="1"/>
  <c r="P68" i="44" s="1"/>
  <c r="S68" i="44" s="1"/>
  <c r="T68" i="44" s="1"/>
  <c r="L63" i="44"/>
  <c r="O63" i="44" s="1"/>
  <c r="P63" i="44" s="1"/>
  <c r="S63" i="44" s="1"/>
  <c r="T63" i="44" s="1"/>
  <c r="L70" i="44"/>
  <c r="O70" i="44" s="1"/>
  <c r="P70" i="44" s="1"/>
  <c r="S70" i="44" s="1"/>
  <c r="T70" i="44" s="1"/>
  <c r="J36" i="38"/>
  <c r="B36" i="42" s="1"/>
  <c r="AJ28" i="42"/>
  <c r="AF28" i="42"/>
  <c r="Z40" i="42"/>
  <c r="AD40" i="42"/>
  <c r="AH40" i="42"/>
  <c r="R29" i="42"/>
  <c r="T29" i="42" s="1"/>
  <c r="N29" i="42"/>
  <c r="P29" i="42" s="1"/>
  <c r="V29" i="42"/>
  <c r="AD35" i="42"/>
  <c r="AH35" i="42"/>
  <c r="Z35" i="42"/>
  <c r="S31" i="42"/>
  <c r="AE31" i="42"/>
  <c r="AF31" i="42" s="1"/>
  <c r="R30" i="42"/>
  <c r="T30" i="42" s="1"/>
  <c r="N30" i="42"/>
  <c r="P30" i="42" s="1"/>
  <c r="V30" i="42"/>
  <c r="AH30" i="42"/>
  <c r="Z30" i="42"/>
  <c r="AD30" i="42"/>
  <c r="AF30" i="42" s="1"/>
  <c r="Z36" i="42"/>
  <c r="AD36" i="42"/>
  <c r="AH36" i="42"/>
  <c r="R28" i="42"/>
  <c r="T28" i="42" s="1"/>
  <c r="V28" i="42"/>
  <c r="X28" i="42" s="1"/>
  <c r="N28" i="42"/>
  <c r="P28" i="42" s="1"/>
  <c r="Z29" i="42"/>
  <c r="AB29" i="42" s="1"/>
  <c r="AH29" i="42"/>
  <c r="AD29" i="42"/>
  <c r="AF29" i="42" s="1"/>
  <c r="B109" i="38"/>
  <c r="L41" i="38"/>
  <c r="C107" i="38"/>
  <c r="D107" i="38" s="1"/>
  <c r="F36" i="42"/>
  <c r="J36" i="42"/>
  <c r="AI29" i="42"/>
  <c r="W29" i="42"/>
  <c r="K29" i="42"/>
  <c r="S30" i="38"/>
  <c r="J31" i="42"/>
  <c r="F31" i="42"/>
  <c r="J33" i="42"/>
  <c r="F33" i="42"/>
  <c r="J30" i="42"/>
  <c r="F30" i="42"/>
  <c r="H30" i="42" s="1"/>
  <c r="J35" i="42"/>
  <c r="F35" i="42"/>
  <c r="R32" i="38"/>
  <c r="G31" i="42"/>
  <c r="J32" i="42"/>
  <c r="F32" i="42"/>
  <c r="D29" i="42"/>
  <c r="F29" i="42"/>
  <c r="H29" i="42" s="1"/>
  <c r="J29" i="42"/>
  <c r="D28" i="42"/>
  <c r="J28" i="42"/>
  <c r="L28" i="42" s="1"/>
  <c r="F28" i="42"/>
  <c r="H28" i="42" s="1"/>
  <c r="F34" i="42"/>
  <c r="J34" i="42"/>
  <c r="M40" i="38"/>
  <c r="M39" i="38"/>
  <c r="Q31" i="38"/>
  <c r="O31" i="42" s="1"/>
  <c r="AA30" i="42"/>
  <c r="M38" i="38"/>
  <c r="J39" i="38"/>
  <c r="B39" i="42" s="1"/>
  <c r="M36" i="38"/>
  <c r="J37" i="38"/>
  <c r="B37" i="42" s="1"/>
  <c r="O29" i="38"/>
  <c r="C30" i="42"/>
  <c r="J38" i="38"/>
  <c r="B38" i="42" s="1"/>
  <c r="M37" i="38"/>
  <c r="N30" i="38"/>
  <c r="N31" i="38"/>
  <c r="J46" i="38"/>
  <c r="B46" i="42" s="1"/>
  <c r="M52" i="38"/>
  <c r="M48" i="38"/>
  <c r="M51" i="38"/>
  <c r="J47" i="38"/>
  <c r="B47" i="42" s="1"/>
  <c r="M47" i="38"/>
  <c r="J43" i="38"/>
  <c r="B43" i="42" s="1"/>
  <c r="J51" i="38"/>
  <c r="B51" i="42" s="1"/>
  <c r="J50" i="38"/>
  <c r="B50" i="42" s="1"/>
  <c r="J49" i="38"/>
  <c r="B49" i="42" s="1"/>
  <c r="J45" i="38"/>
  <c r="B45" i="42" s="1"/>
  <c r="M45" i="38"/>
  <c r="M44" i="38"/>
  <c r="B54" i="42"/>
  <c r="J42" i="38"/>
  <c r="B42" i="42" s="1"/>
  <c r="M43" i="38"/>
  <c r="M50" i="38"/>
  <c r="J48" i="38"/>
  <c r="B48" i="42" s="1"/>
  <c r="M49" i="38"/>
  <c r="M46" i="38"/>
  <c r="J44" i="38"/>
  <c r="B44" i="42" s="1"/>
  <c r="J53" i="38"/>
  <c r="B53" i="42" s="1"/>
  <c r="J41" i="38"/>
  <c r="B41" i="42" s="1"/>
  <c r="M42" i="38"/>
  <c r="J52" i="38"/>
  <c r="B52" i="42" s="1"/>
  <c r="J40" i="38"/>
  <c r="B40" i="42" s="1"/>
  <c r="M53" i="38"/>
  <c r="M41" i="38"/>
  <c r="C49" i="43" l="1"/>
  <c r="J51" i="43"/>
  <c r="J52" i="43"/>
  <c r="L52" i="43"/>
  <c r="O52" i="43" s="1"/>
  <c r="P52" i="43" s="1"/>
  <c r="S52" i="43" s="1"/>
  <c r="T52" i="43" s="1"/>
  <c r="L51" i="43"/>
  <c r="O51" i="43" s="1"/>
  <c r="P51" i="43" s="1"/>
  <c r="S51" i="43" s="1"/>
  <c r="T51" i="43" s="1"/>
  <c r="L50" i="43"/>
  <c r="O50" i="43" s="1"/>
  <c r="P50" i="43" s="1"/>
  <c r="S50" i="43" s="1"/>
  <c r="T50" i="43" s="1"/>
  <c r="D49" i="43" s="1"/>
  <c r="AB30" i="42"/>
  <c r="AJ29" i="42"/>
  <c r="S32" i="42"/>
  <c r="AE32" i="42"/>
  <c r="AF32" i="42" s="1"/>
  <c r="AH41" i="42"/>
  <c r="Z41" i="42"/>
  <c r="AD41" i="42"/>
  <c r="B110" i="38"/>
  <c r="L42" i="38"/>
  <c r="C108" i="38"/>
  <c r="D108" i="38" s="1"/>
  <c r="X29" i="42"/>
  <c r="H31" i="42"/>
  <c r="D30" i="42"/>
  <c r="R33" i="38"/>
  <c r="G32" i="42"/>
  <c r="H32" i="42" s="1"/>
  <c r="F46" i="42"/>
  <c r="J46" i="42"/>
  <c r="J39" i="42"/>
  <c r="F39" i="42"/>
  <c r="J52" i="42"/>
  <c r="F52" i="42"/>
  <c r="W30" i="42"/>
  <c r="X30" i="42" s="1"/>
  <c r="AI30" i="42"/>
  <c r="AJ30" i="42" s="1"/>
  <c r="K30" i="42"/>
  <c r="L30" i="42" s="1"/>
  <c r="S31" i="38"/>
  <c r="F54" i="42"/>
  <c r="H54" i="42" s="1"/>
  <c r="J54" i="42"/>
  <c r="L54" i="42" s="1"/>
  <c r="J45" i="42"/>
  <c r="F45" i="42"/>
  <c r="F53" i="42"/>
  <c r="J53" i="42"/>
  <c r="J49" i="42"/>
  <c r="F49" i="42"/>
  <c r="Q32" i="38"/>
  <c r="O32" i="42" s="1"/>
  <c r="AA31" i="42"/>
  <c r="AB31" i="42" s="1"/>
  <c r="L29" i="42"/>
  <c r="F42" i="42"/>
  <c r="J42" i="42"/>
  <c r="J40" i="42"/>
  <c r="F40" i="42"/>
  <c r="J44" i="42"/>
  <c r="F44" i="42"/>
  <c r="J43" i="42"/>
  <c r="F43" i="42"/>
  <c r="F41" i="42"/>
  <c r="J41" i="42"/>
  <c r="F48" i="42"/>
  <c r="J48" i="42"/>
  <c r="J50" i="42"/>
  <c r="F50" i="42"/>
  <c r="J38" i="42"/>
  <c r="F38" i="42"/>
  <c r="J51" i="42"/>
  <c r="F51" i="42"/>
  <c r="F47" i="42"/>
  <c r="J47" i="42"/>
  <c r="J37" i="42"/>
  <c r="F37" i="42"/>
  <c r="O30" i="38"/>
  <c r="C31" i="42"/>
  <c r="D31" i="42" s="1"/>
  <c r="K31" i="38"/>
  <c r="K32" i="38"/>
  <c r="N32" i="38"/>
  <c r="A56" i="43" l="1"/>
  <c r="D8" i="43" s="1"/>
  <c r="D10" i="43" s="1"/>
  <c r="D14" i="43" s="1"/>
  <c r="D26" i="43" s="1"/>
  <c r="V32" i="42"/>
  <c r="R32" i="42"/>
  <c r="T32" i="42" s="1"/>
  <c r="N32" i="42"/>
  <c r="P32" i="42" s="1"/>
  <c r="B111" i="38"/>
  <c r="C109" i="38"/>
  <c r="D109" i="38" s="1"/>
  <c r="L43" i="38"/>
  <c r="Z42" i="42"/>
  <c r="AH42" i="42"/>
  <c r="AD42" i="42"/>
  <c r="AE33" i="42"/>
  <c r="AF33" i="42" s="1"/>
  <c r="S33" i="42"/>
  <c r="R31" i="42"/>
  <c r="T31" i="42" s="1"/>
  <c r="V31" i="42"/>
  <c r="N31" i="42"/>
  <c r="P31" i="42" s="1"/>
  <c r="AI31" i="42"/>
  <c r="AJ31" i="42" s="1"/>
  <c r="W31" i="42"/>
  <c r="K31" i="42"/>
  <c r="L31" i="42" s="1"/>
  <c r="S32" i="38"/>
  <c r="Q33" i="38"/>
  <c r="O33" i="42" s="1"/>
  <c r="AA32" i="42"/>
  <c r="AB32" i="42" s="1"/>
  <c r="R34" i="38"/>
  <c r="G33" i="42"/>
  <c r="H33" i="42" s="1"/>
  <c r="C32" i="42"/>
  <c r="D32" i="42" s="1"/>
  <c r="O31" i="38"/>
  <c r="N33" i="38"/>
  <c r="K33" i="38"/>
  <c r="D32" i="43" l="1"/>
  <c r="D30" i="43"/>
  <c r="D31" i="43"/>
  <c r="C56" i="43"/>
  <c r="J58" i="43"/>
  <c r="J57" i="43"/>
  <c r="J59" i="43"/>
  <c r="L44" i="38"/>
  <c r="X31" i="42"/>
  <c r="S34" i="42"/>
  <c r="AE34" i="42"/>
  <c r="AF34" i="42" s="1"/>
  <c r="V33" i="42"/>
  <c r="R33" i="42"/>
  <c r="T33" i="42" s="1"/>
  <c r="N33" i="42"/>
  <c r="P33" i="42" s="1"/>
  <c r="B112" i="38"/>
  <c r="C110" i="38"/>
  <c r="D110" i="38" s="1"/>
  <c r="AH43" i="42"/>
  <c r="Z43" i="42"/>
  <c r="AD43" i="42"/>
  <c r="W32" i="42"/>
  <c r="X32" i="42" s="1"/>
  <c r="K32" i="42"/>
  <c r="L32" i="42" s="1"/>
  <c r="AI32" i="42"/>
  <c r="AJ32" i="42" s="1"/>
  <c r="S33" i="38"/>
  <c r="R35" i="38"/>
  <c r="G34" i="42"/>
  <c r="H34" i="42" s="1"/>
  <c r="Q34" i="38"/>
  <c r="O34" i="42" s="1"/>
  <c r="AA33" i="42"/>
  <c r="AB33" i="42" s="1"/>
  <c r="C33" i="42"/>
  <c r="D33" i="42" s="1"/>
  <c r="O32" i="38"/>
  <c r="N34" i="38"/>
  <c r="K34" i="38"/>
  <c r="L59" i="43" l="1"/>
  <c r="O59" i="43" s="1"/>
  <c r="P59" i="43" s="1"/>
  <c r="S59" i="43" s="1"/>
  <c r="T59" i="43" s="1"/>
  <c r="L58" i="43"/>
  <c r="O58" i="43" s="1"/>
  <c r="P58" i="43" s="1"/>
  <c r="S58" i="43" s="1"/>
  <c r="T58" i="43" s="1"/>
  <c r="L57" i="43"/>
  <c r="O57" i="43" s="1"/>
  <c r="P57" i="43" s="1"/>
  <c r="S57" i="43" s="1"/>
  <c r="AH44" i="42"/>
  <c r="AD44" i="42"/>
  <c r="Z44" i="42"/>
  <c r="B113" i="38"/>
  <c r="L45" i="38"/>
  <c r="C111" i="38"/>
  <c r="D111" i="38" s="1"/>
  <c r="V34" i="42"/>
  <c r="R34" i="42"/>
  <c r="T34" i="42" s="1"/>
  <c r="N34" i="42"/>
  <c r="P34" i="42" s="1"/>
  <c r="AE35" i="42"/>
  <c r="AF35" i="42" s="1"/>
  <c r="S35" i="42"/>
  <c r="R36" i="38"/>
  <c r="G35" i="42"/>
  <c r="H35" i="42" s="1"/>
  <c r="Q35" i="38"/>
  <c r="O35" i="42" s="1"/>
  <c r="AA34" i="42"/>
  <c r="AB34" i="42" s="1"/>
  <c r="AI33" i="42"/>
  <c r="AJ33" i="42" s="1"/>
  <c r="W33" i="42"/>
  <c r="X33" i="42" s="1"/>
  <c r="K33" i="42"/>
  <c r="L33" i="42" s="1"/>
  <c r="S34" i="38"/>
  <c r="O33" i="38"/>
  <c r="C34" i="42"/>
  <c r="D34" i="42" s="1"/>
  <c r="K35" i="38"/>
  <c r="N35" i="38"/>
  <c r="D56" i="43" l="1"/>
  <c r="A63" i="43" s="1"/>
  <c r="E8" i="43" s="1"/>
  <c r="E10" i="43" s="1"/>
  <c r="E14" i="43" s="1"/>
  <c r="E26" i="43" s="1"/>
  <c r="L46" i="38"/>
  <c r="AD45" i="42"/>
  <c r="AH45" i="42"/>
  <c r="Z45" i="42"/>
  <c r="B114" i="38"/>
  <c r="C112" i="38"/>
  <c r="D112" i="38" s="1"/>
  <c r="N35" i="42"/>
  <c r="P35" i="42" s="1"/>
  <c r="V35" i="42"/>
  <c r="R35" i="42"/>
  <c r="T35" i="42" s="1"/>
  <c r="AE36" i="42"/>
  <c r="AF36" i="42" s="1"/>
  <c r="S36" i="42"/>
  <c r="K34" i="42"/>
  <c r="L34" i="42" s="1"/>
  <c r="AI34" i="42"/>
  <c r="AJ34" i="42" s="1"/>
  <c r="W34" i="42"/>
  <c r="X34" i="42" s="1"/>
  <c r="S35" i="38"/>
  <c r="Q36" i="38"/>
  <c r="O36" i="42" s="1"/>
  <c r="AA35" i="42"/>
  <c r="AB35" i="42" s="1"/>
  <c r="R37" i="38"/>
  <c r="G36" i="42"/>
  <c r="H36" i="42" s="1"/>
  <c r="O34" i="38"/>
  <c r="C35" i="42"/>
  <c r="D35" i="42" s="1"/>
  <c r="K36" i="38"/>
  <c r="N36" i="38"/>
  <c r="E30" i="43" l="1"/>
  <c r="E32" i="43"/>
  <c r="E31" i="43"/>
  <c r="L47" i="38"/>
  <c r="B115" i="38"/>
  <c r="C113" i="38"/>
  <c r="D113" i="38" s="1"/>
  <c r="V36" i="42"/>
  <c r="R36" i="42"/>
  <c r="T36" i="42" s="1"/>
  <c r="N36" i="42"/>
  <c r="P36" i="42" s="1"/>
  <c r="AE37" i="42"/>
  <c r="AF37" i="42" s="1"/>
  <c r="S37" i="42"/>
  <c r="AD46" i="42"/>
  <c r="AH46" i="42"/>
  <c r="Z46" i="42"/>
  <c r="Q37" i="38"/>
  <c r="O37" i="42" s="1"/>
  <c r="AA36" i="42"/>
  <c r="AB36" i="42" s="1"/>
  <c r="R38" i="38"/>
  <c r="G37" i="42"/>
  <c r="H37" i="42" s="1"/>
  <c r="AI35" i="42"/>
  <c r="AJ35" i="42" s="1"/>
  <c r="W35" i="42"/>
  <c r="X35" i="42" s="1"/>
  <c r="K35" i="42"/>
  <c r="L35" i="42" s="1"/>
  <c r="S36" i="38"/>
  <c r="O35" i="38"/>
  <c r="C36" i="42"/>
  <c r="D36" i="42" s="1"/>
  <c r="N37" i="38"/>
  <c r="K37" i="38"/>
  <c r="C63" i="43" l="1"/>
  <c r="J66" i="43"/>
  <c r="J65" i="43"/>
  <c r="J64" i="43"/>
  <c r="L48" i="38"/>
  <c r="AD47" i="42"/>
  <c r="AH47" i="42"/>
  <c r="Z47" i="42"/>
  <c r="S38" i="42"/>
  <c r="AE38" i="42"/>
  <c r="AF38" i="42" s="1"/>
  <c r="N37" i="42"/>
  <c r="P37" i="42" s="1"/>
  <c r="V37" i="42"/>
  <c r="R37" i="42"/>
  <c r="T37" i="42" s="1"/>
  <c r="B116" i="38"/>
  <c r="C114" i="38"/>
  <c r="D114" i="38" s="1"/>
  <c r="R39" i="38"/>
  <c r="G38" i="42"/>
  <c r="H38" i="42" s="1"/>
  <c r="AI36" i="42"/>
  <c r="AJ36" i="42" s="1"/>
  <c r="W36" i="42"/>
  <c r="X36" i="42" s="1"/>
  <c r="K36" i="42"/>
  <c r="L36" i="42" s="1"/>
  <c r="S37" i="38"/>
  <c r="Q38" i="38"/>
  <c r="O38" i="42" s="1"/>
  <c r="AA37" i="42"/>
  <c r="AB37" i="42" s="1"/>
  <c r="C37" i="42"/>
  <c r="D37" i="42" s="1"/>
  <c r="O36" i="38"/>
  <c r="K38" i="38"/>
  <c r="N38" i="38"/>
  <c r="L66" i="43" l="1"/>
  <c r="O66" i="43" s="1"/>
  <c r="P66" i="43" s="1"/>
  <c r="S66" i="43" s="1"/>
  <c r="T66" i="43" s="1"/>
  <c r="L64" i="43"/>
  <c r="O64" i="43" s="1"/>
  <c r="P64" i="43" s="1"/>
  <c r="S64" i="43" s="1"/>
  <c r="T64" i="43" s="1"/>
  <c r="L65" i="43"/>
  <c r="O65" i="43" s="1"/>
  <c r="P65" i="43" s="1"/>
  <c r="S65" i="43" s="1"/>
  <c r="T65" i="43" s="1"/>
  <c r="L49" i="38"/>
  <c r="B117" i="38"/>
  <c r="C115" i="38"/>
  <c r="D115" i="38" s="1"/>
  <c r="N38" i="42"/>
  <c r="P38" i="42" s="1"/>
  <c r="V38" i="42"/>
  <c r="R38" i="42"/>
  <c r="T38" i="42" s="1"/>
  <c r="S39" i="42"/>
  <c r="AE39" i="42"/>
  <c r="AF39" i="42" s="1"/>
  <c r="AD48" i="42"/>
  <c r="AH48" i="42"/>
  <c r="Z48" i="42"/>
  <c r="Q39" i="38"/>
  <c r="O39" i="42" s="1"/>
  <c r="AA38" i="42"/>
  <c r="AB38" i="42" s="1"/>
  <c r="AI37" i="42"/>
  <c r="AJ37" i="42" s="1"/>
  <c r="K37" i="42"/>
  <c r="L37" i="42" s="1"/>
  <c r="W37" i="42"/>
  <c r="X37" i="42" s="1"/>
  <c r="S38" i="38"/>
  <c r="R40" i="38"/>
  <c r="G39" i="42"/>
  <c r="H39" i="42" s="1"/>
  <c r="O37" i="38"/>
  <c r="C38" i="42"/>
  <c r="D38" i="42" s="1"/>
  <c r="K39" i="38"/>
  <c r="N39" i="38"/>
  <c r="D63" i="43" l="1"/>
  <c r="A70" i="43" s="1"/>
  <c r="F8" i="43" s="1"/>
  <c r="F10" i="43" s="1"/>
  <c r="F14" i="43" s="1"/>
  <c r="F26" i="43" s="1"/>
  <c r="S40" i="42"/>
  <c r="AE40" i="42"/>
  <c r="AF40" i="42" s="1"/>
  <c r="AD49" i="42"/>
  <c r="AH49" i="42"/>
  <c r="Z49" i="42"/>
  <c r="N39" i="42"/>
  <c r="P39" i="42" s="1"/>
  <c r="R39" i="42"/>
  <c r="T39" i="42" s="1"/>
  <c r="V39" i="42"/>
  <c r="B118" i="38"/>
  <c r="C116" i="38"/>
  <c r="D116" i="38" s="1"/>
  <c r="R41" i="38"/>
  <c r="G40" i="42"/>
  <c r="H40" i="42" s="1"/>
  <c r="AI38" i="42"/>
  <c r="AJ38" i="42" s="1"/>
  <c r="K38" i="42"/>
  <c r="L38" i="42" s="1"/>
  <c r="W38" i="42"/>
  <c r="X38" i="42" s="1"/>
  <c r="S39" i="38"/>
  <c r="Q40" i="38"/>
  <c r="O40" i="42" s="1"/>
  <c r="AA39" i="42"/>
  <c r="AB39" i="42" s="1"/>
  <c r="O38" i="38"/>
  <c r="C39" i="42"/>
  <c r="D39" i="42" s="1"/>
  <c r="K40" i="38"/>
  <c r="N40" i="38"/>
  <c r="F30" i="43" l="1"/>
  <c r="F32" i="43"/>
  <c r="F31" i="43"/>
  <c r="L51" i="38"/>
  <c r="C117" i="38"/>
  <c r="D117" i="38" s="1"/>
  <c r="B119" i="38"/>
  <c r="S41" i="42"/>
  <c r="AE41" i="42"/>
  <c r="AF41" i="42" s="1"/>
  <c r="N40" i="42"/>
  <c r="P40" i="42" s="1"/>
  <c r="R40" i="42"/>
  <c r="T40" i="42" s="1"/>
  <c r="V40" i="42"/>
  <c r="L50" i="38"/>
  <c r="W39" i="42"/>
  <c r="X39" i="42" s="1"/>
  <c r="K39" i="42"/>
  <c r="L39" i="42" s="1"/>
  <c r="AI39" i="42"/>
  <c r="AJ39" i="42" s="1"/>
  <c r="S40" i="38"/>
  <c r="Q41" i="38"/>
  <c r="O41" i="42" s="1"/>
  <c r="AA40" i="42"/>
  <c r="AB40" i="42" s="1"/>
  <c r="R42" i="38"/>
  <c r="G41" i="42"/>
  <c r="H41" i="42" s="1"/>
  <c r="C40" i="42"/>
  <c r="D40" i="42" s="1"/>
  <c r="O39" i="38"/>
  <c r="K41" i="38"/>
  <c r="N41" i="38"/>
  <c r="C70" i="43" l="1"/>
  <c r="J73" i="43"/>
  <c r="J72" i="43"/>
  <c r="J71" i="43"/>
  <c r="L52" i="38"/>
  <c r="B120" i="38"/>
  <c r="C118" i="38"/>
  <c r="D118" i="38" s="1"/>
  <c r="S42" i="42"/>
  <c r="AE42" i="42"/>
  <c r="AF42" i="42" s="1"/>
  <c r="Z51" i="42"/>
  <c r="AD51" i="42"/>
  <c r="AH51" i="42"/>
  <c r="Z50" i="42"/>
  <c r="AD50" i="42"/>
  <c r="AH50" i="42"/>
  <c r="R41" i="42"/>
  <c r="T41" i="42" s="1"/>
  <c r="V41" i="42"/>
  <c r="N41" i="42"/>
  <c r="P41" i="42" s="1"/>
  <c r="R43" i="38"/>
  <c r="G42" i="42"/>
  <c r="H42" i="42" s="1"/>
  <c r="Q42" i="38"/>
  <c r="O42" i="42" s="1"/>
  <c r="AA41" i="42"/>
  <c r="AB41" i="42" s="1"/>
  <c r="W40" i="42"/>
  <c r="X40" i="42" s="1"/>
  <c r="AI40" i="42"/>
  <c r="AJ40" i="42" s="1"/>
  <c r="K40" i="42"/>
  <c r="L40" i="42" s="1"/>
  <c r="S41" i="38"/>
  <c r="O40" i="38"/>
  <c r="C41" i="42"/>
  <c r="D41" i="42" s="1"/>
  <c r="K42" i="38"/>
  <c r="N42" i="38"/>
  <c r="L72" i="43" l="1"/>
  <c r="O72" i="43" s="1"/>
  <c r="P72" i="43" s="1"/>
  <c r="S72" i="43" s="1"/>
  <c r="T72" i="43" s="1"/>
  <c r="L73" i="43"/>
  <c r="O73" i="43" s="1"/>
  <c r="P73" i="43" s="1"/>
  <c r="S73" i="43" s="1"/>
  <c r="T73" i="43" s="1"/>
  <c r="L71" i="43"/>
  <c r="O71" i="43" s="1"/>
  <c r="P71" i="43" s="1"/>
  <c r="S71" i="43" s="1"/>
  <c r="T71" i="43" s="1"/>
  <c r="L53" i="38"/>
  <c r="R42" i="42"/>
  <c r="T42" i="42" s="1"/>
  <c r="N42" i="42"/>
  <c r="P42" i="42" s="1"/>
  <c r="V42" i="42"/>
  <c r="S43" i="42"/>
  <c r="AE43" i="42"/>
  <c r="AF43" i="42" s="1"/>
  <c r="B121" i="38"/>
  <c r="C119" i="38"/>
  <c r="D119" i="38" s="1"/>
  <c r="Z52" i="42"/>
  <c r="AD52" i="42"/>
  <c r="AH52" i="42"/>
  <c r="AI41" i="42"/>
  <c r="AJ41" i="42" s="1"/>
  <c r="W41" i="42"/>
  <c r="X41" i="42" s="1"/>
  <c r="K41" i="42"/>
  <c r="L41" i="42" s="1"/>
  <c r="S42" i="38"/>
  <c r="Q43" i="38"/>
  <c r="O43" i="42" s="1"/>
  <c r="AA42" i="42"/>
  <c r="AB42" i="42" s="1"/>
  <c r="R44" i="38"/>
  <c r="G43" i="42"/>
  <c r="H43" i="42" s="1"/>
  <c r="C42" i="42"/>
  <c r="D42" i="42" s="1"/>
  <c r="K43" i="38"/>
  <c r="N43" i="38"/>
  <c r="D70" i="43" l="1"/>
  <c r="A77" i="43" s="1"/>
  <c r="G8" i="43" s="1"/>
  <c r="G10" i="43" s="1"/>
  <c r="G14" i="43" s="1"/>
  <c r="G26" i="43" s="1"/>
  <c r="C120" i="38"/>
  <c r="D120" i="38" s="1"/>
  <c r="C121" i="38"/>
  <c r="D121" i="38" s="1"/>
  <c r="AE44" i="42"/>
  <c r="AF44" i="42" s="1"/>
  <c r="S44" i="42"/>
  <c r="Z53" i="42"/>
  <c r="AD53" i="42"/>
  <c r="AH53" i="42"/>
  <c r="R43" i="42"/>
  <c r="T43" i="42" s="1"/>
  <c r="V43" i="42"/>
  <c r="N43" i="42"/>
  <c r="P43" i="42" s="1"/>
  <c r="R45" i="38"/>
  <c r="G44" i="42"/>
  <c r="H44" i="42" s="1"/>
  <c r="Q44" i="38"/>
  <c r="O44" i="42" s="1"/>
  <c r="AA43" i="42"/>
  <c r="AB43" i="42" s="1"/>
  <c r="AI42" i="42"/>
  <c r="AJ42" i="42" s="1"/>
  <c r="W42" i="42"/>
  <c r="X42" i="42" s="1"/>
  <c r="K42" i="42"/>
  <c r="L42" i="42" s="1"/>
  <c r="S43" i="38"/>
  <c r="O42" i="38"/>
  <c r="C43" i="42"/>
  <c r="D43" i="42" s="1"/>
  <c r="N44" i="38"/>
  <c r="K44" i="38"/>
  <c r="G32" i="43" l="1"/>
  <c r="G31" i="43"/>
  <c r="G30" i="43"/>
  <c r="L54" i="38"/>
  <c r="O54" i="38"/>
  <c r="V44" i="42"/>
  <c r="R44" i="42"/>
  <c r="T44" i="42" s="1"/>
  <c r="N44" i="42"/>
  <c r="P44" i="42" s="1"/>
  <c r="S45" i="42"/>
  <c r="AE45" i="42"/>
  <c r="AF45" i="42" s="1"/>
  <c r="K43" i="42"/>
  <c r="L43" i="42" s="1"/>
  <c r="AI43" i="42"/>
  <c r="AJ43" i="42" s="1"/>
  <c r="W43" i="42"/>
  <c r="X43" i="42" s="1"/>
  <c r="S44" i="38"/>
  <c r="Q45" i="38"/>
  <c r="O45" i="42" s="1"/>
  <c r="AA44" i="42"/>
  <c r="AB44" i="42" s="1"/>
  <c r="R46" i="38"/>
  <c r="G45" i="42"/>
  <c r="H45" i="42" s="1"/>
  <c r="C44" i="42"/>
  <c r="D44" i="42" s="1"/>
  <c r="O43" i="38"/>
  <c r="K45" i="38"/>
  <c r="N45" i="38"/>
  <c r="C77" i="43" l="1"/>
  <c r="J80" i="43"/>
  <c r="J79" i="43"/>
  <c r="R45" i="42"/>
  <c r="T45" i="42" s="1"/>
  <c r="V45" i="42"/>
  <c r="N45" i="42"/>
  <c r="P45" i="42" s="1"/>
  <c r="AE46" i="42"/>
  <c r="S46" i="42"/>
  <c r="AD54" i="42"/>
  <c r="AF54" i="42" s="1"/>
  <c r="Z54" i="42"/>
  <c r="AH54" i="42"/>
  <c r="AJ54" i="42" s="1"/>
  <c r="Q46" i="38"/>
  <c r="O46" i="42" s="1"/>
  <c r="AA45" i="42"/>
  <c r="AB45" i="42" s="1"/>
  <c r="R47" i="38"/>
  <c r="AF46" i="42"/>
  <c r="G46" i="42"/>
  <c r="H46" i="42" s="1"/>
  <c r="AI44" i="42"/>
  <c r="AJ44" i="42" s="1"/>
  <c r="W44" i="42"/>
  <c r="X44" i="42" s="1"/>
  <c r="K44" i="42"/>
  <c r="L44" i="42" s="1"/>
  <c r="S45" i="38"/>
  <c r="O44" i="38"/>
  <c r="C45" i="42"/>
  <c r="D45" i="42" s="1"/>
  <c r="N46" i="38"/>
  <c r="K46" i="38"/>
  <c r="L79" i="43" l="1"/>
  <c r="O79" i="43" s="1"/>
  <c r="P79" i="43" s="1"/>
  <c r="S79" i="43" s="1"/>
  <c r="T79" i="43" s="1"/>
  <c r="L78" i="43"/>
  <c r="O78" i="43" s="1"/>
  <c r="P78" i="43" s="1"/>
  <c r="S78" i="43" s="1"/>
  <c r="T78" i="43" s="1"/>
  <c r="D77" i="43" s="1"/>
  <c r="A84" i="43" s="1"/>
  <c r="H8" i="43" s="1"/>
  <c r="H10" i="43" s="1"/>
  <c r="H14" i="43" s="1"/>
  <c r="H26" i="43" s="1"/>
  <c r="L80" i="43"/>
  <c r="O80" i="43" s="1"/>
  <c r="P80" i="43" s="1"/>
  <c r="S80" i="43" s="1"/>
  <c r="T80" i="43" s="1"/>
  <c r="V46" i="42"/>
  <c r="R46" i="42"/>
  <c r="T46" i="42" s="1"/>
  <c r="N46" i="42"/>
  <c r="P46" i="42" s="1"/>
  <c r="AE47" i="42"/>
  <c r="AF47" i="42" s="1"/>
  <c r="S47" i="42"/>
  <c r="AI45" i="42"/>
  <c r="AJ45" i="42" s="1"/>
  <c r="K45" i="42"/>
  <c r="L45" i="42" s="1"/>
  <c r="W45" i="42"/>
  <c r="X45" i="42" s="1"/>
  <c r="S46" i="38"/>
  <c r="R48" i="38"/>
  <c r="G47" i="42"/>
  <c r="H47" i="42" s="1"/>
  <c r="Q47" i="38"/>
  <c r="O47" i="42" s="1"/>
  <c r="AA46" i="42"/>
  <c r="AB46" i="42" s="1"/>
  <c r="O45" i="38"/>
  <c r="C46" i="42"/>
  <c r="D46" i="42" s="1"/>
  <c r="N47" i="38"/>
  <c r="K47" i="38"/>
  <c r="H31" i="43" l="1"/>
  <c r="H32" i="43"/>
  <c r="H30" i="43"/>
  <c r="AE48" i="42"/>
  <c r="S48" i="42"/>
  <c r="N47" i="42"/>
  <c r="P47" i="42" s="1"/>
  <c r="V47" i="42"/>
  <c r="R47" i="42"/>
  <c r="T47" i="42" s="1"/>
  <c r="R49" i="38"/>
  <c r="AF48" i="42"/>
  <c r="G48" i="42"/>
  <c r="H48" i="42" s="1"/>
  <c r="Q48" i="38"/>
  <c r="O48" i="42" s="1"/>
  <c r="AA47" i="42"/>
  <c r="AB47" i="42" s="1"/>
  <c r="AI46" i="42"/>
  <c r="AJ46" i="42" s="1"/>
  <c r="K46" i="42"/>
  <c r="L46" i="42" s="1"/>
  <c r="W46" i="42"/>
  <c r="X46" i="42" s="1"/>
  <c r="S47" i="38"/>
  <c r="C47" i="42"/>
  <c r="D47" i="42" s="1"/>
  <c r="O46" i="38"/>
  <c r="N48" i="38"/>
  <c r="K48" i="38"/>
  <c r="C84" i="43" l="1"/>
  <c r="J86" i="43"/>
  <c r="L86" i="43" s="1"/>
  <c r="O86" i="43" s="1"/>
  <c r="P86" i="43" s="1"/>
  <c r="S86" i="43" s="1"/>
  <c r="T86" i="43" s="1"/>
  <c r="J85" i="43"/>
  <c r="L85" i="43" s="1"/>
  <c r="O85" i="43" s="1"/>
  <c r="P85" i="43" s="1"/>
  <c r="S85" i="43" s="1"/>
  <c r="T85" i="43" s="1"/>
  <c r="D84" i="43" s="1"/>
  <c r="A91" i="43" s="1"/>
  <c r="I8" i="43" s="1"/>
  <c r="I10" i="43" s="1"/>
  <c r="I14" i="43" s="1"/>
  <c r="I26" i="43" s="1"/>
  <c r="J87" i="43"/>
  <c r="L87" i="43" s="1"/>
  <c r="O87" i="43" s="1"/>
  <c r="P87" i="43" s="1"/>
  <c r="S87" i="43" s="1"/>
  <c r="T87" i="43" s="1"/>
  <c r="S49" i="42"/>
  <c r="AE49" i="42"/>
  <c r="AF49" i="42" s="1"/>
  <c r="N48" i="42"/>
  <c r="P48" i="42" s="1"/>
  <c r="V48" i="42"/>
  <c r="R48" i="42"/>
  <c r="T48" i="42" s="1"/>
  <c r="AI47" i="42"/>
  <c r="AJ47" i="42" s="1"/>
  <c r="W47" i="42"/>
  <c r="X47" i="42" s="1"/>
  <c r="K47" i="42"/>
  <c r="L47" i="42" s="1"/>
  <c r="S48" i="38"/>
  <c r="Q49" i="38"/>
  <c r="O49" i="42" s="1"/>
  <c r="AA48" i="42"/>
  <c r="AB48" i="42" s="1"/>
  <c r="R50" i="38"/>
  <c r="G49" i="42"/>
  <c r="H49" i="42" s="1"/>
  <c r="C48" i="42"/>
  <c r="D48" i="42" s="1"/>
  <c r="O47" i="38"/>
  <c r="N49" i="38"/>
  <c r="K49" i="38"/>
  <c r="I32" i="43" l="1"/>
  <c r="I30" i="43"/>
  <c r="I31" i="43"/>
  <c r="S50" i="42"/>
  <c r="AE50" i="42"/>
  <c r="AF50" i="42" s="1"/>
  <c r="V49" i="42"/>
  <c r="R49" i="42"/>
  <c r="T49" i="42" s="1"/>
  <c r="N49" i="42"/>
  <c r="P49" i="42" s="1"/>
  <c r="R51" i="38"/>
  <c r="G50" i="42"/>
  <c r="H50" i="42" s="1"/>
  <c r="Q50" i="38"/>
  <c r="O50" i="42" s="1"/>
  <c r="AA49" i="42"/>
  <c r="AB49" i="42" s="1"/>
  <c r="AI48" i="42"/>
  <c r="AJ48" i="42" s="1"/>
  <c r="K48" i="42"/>
  <c r="L48" i="42" s="1"/>
  <c r="W48" i="42"/>
  <c r="X48" i="42" s="1"/>
  <c r="S49" i="38"/>
  <c r="O48" i="38"/>
  <c r="C49" i="42"/>
  <c r="D49" i="42" s="1"/>
  <c r="K50" i="38"/>
  <c r="N50" i="38"/>
  <c r="C91" i="43" l="1"/>
  <c r="J92" i="43"/>
  <c r="J93" i="43"/>
  <c r="J94" i="43"/>
  <c r="S51" i="42"/>
  <c r="AE51" i="42"/>
  <c r="AF51" i="42" s="1"/>
  <c r="N50" i="42"/>
  <c r="P50" i="42" s="1"/>
  <c r="R50" i="42"/>
  <c r="T50" i="42" s="1"/>
  <c r="V50" i="42"/>
  <c r="AI49" i="42"/>
  <c r="AJ49" i="42" s="1"/>
  <c r="W49" i="42"/>
  <c r="X49" i="42" s="1"/>
  <c r="K49" i="42"/>
  <c r="L49" i="42" s="1"/>
  <c r="S50" i="38"/>
  <c r="Q51" i="38"/>
  <c r="O51" i="42" s="1"/>
  <c r="AA50" i="42"/>
  <c r="AB50" i="42" s="1"/>
  <c r="R52" i="38"/>
  <c r="G51" i="42"/>
  <c r="H51" i="42" s="1"/>
  <c r="C50" i="42"/>
  <c r="D50" i="42" s="1"/>
  <c r="O49" i="38"/>
  <c r="K51" i="38"/>
  <c r="N51" i="38"/>
  <c r="L94" i="43" l="1"/>
  <c r="O94" i="43" s="1"/>
  <c r="P94" i="43" s="1"/>
  <c r="S94" i="43" s="1"/>
  <c r="T94" i="43" s="1"/>
  <c r="L93" i="43"/>
  <c r="O93" i="43" s="1"/>
  <c r="P93" i="43" s="1"/>
  <c r="S93" i="43" s="1"/>
  <c r="T93" i="43" s="1"/>
  <c r="L92" i="43"/>
  <c r="O92" i="43" s="1"/>
  <c r="P92" i="43" s="1"/>
  <c r="S92" i="43" s="1"/>
  <c r="T92" i="43" s="1"/>
  <c r="D91" i="43" s="1"/>
  <c r="A98" i="43" s="1"/>
  <c r="J8" i="43" s="1"/>
  <c r="J10" i="43" s="1"/>
  <c r="J14" i="43" s="1"/>
  <c r="J26" i="43" s="1"/>
  <c r="S52" i="42"/>
  <c r="AE52" i="42"/>
  <c r="AF52" i="42" s="1"/>
  <c r="N51" i="42"/>
  <c r="P51" i="42" s="1"/>
  <c r="R51" i="42"/>
  <c r="T51" i="42" s="1"/>
  <c r="V51" i="42"/>
  <c r="Q52" i="38"/>
  <c r="O52" i="42" s="1"/>
  <c r="AA51" i="42"/>
  <c r="AB51" i="42" s="1"/>
  <c r="R53" i="38"/>
  <c r="G52" i="42"/>
  <c r="H52" i="42" s="1"/>
  <c r="AI50" i="42"/>
  <c r="AJ50" i="42" s="1"/>
  <c r="K50" i="42"/>
  <c r="L50" i="42" s="1"/>
  <c r="W50" i="42"/>
  <c r="X50" i="42" s="1"/>
  <c r="S51" i="38"/>
  <c r="O50" i="38"/>
  <c r="C51" i="42"/>
  <c r="D51" i="42" s="1"/>
  <c r="K52" i="38"/>
  <c r="N52" i="38"/>
  <c r="J30" i="43" l="1"/>
  <c r="J32" i="43"/>
  <c r="J31" i="43"/>
  <c r="N52" i="42"/>
  <c r="P52" i="42" s="1"/>
  <c r="R52" i="42"/>
  <c r="T52" i="42" s="1"/>
  <c r="V52" i="42"/>
  <c r="S53" i="42"/>
  <c r="AE53" i="42"/>
  <c r="AF53" i="42" s="1"/>
  <c r="AI51" i="42"/>
  <c r="AJ51" i="42" s="1"/>
  <c r="K51" i="42"/>
  <c r="L51" i="42" s="1"/>
  <c r="W51" i="42"/>
  <c r="X51" i="42" s="1"/>
  <c r="S52" i="38"/>
  <c r="G53" i="42"/>
  <c r="H53" i="42" s="1"/>
  <c r="Q53" i="38"/>
  <c r="O53" i="42" s="1"/>
  <c r="AA52" i="42"/>
  <c r="AB52" i="42" s="1"/>
  <c r="C52" i="42"/>
  <c r="D52" i="42" s="1"/>
  <c r="O51" i="38"/>
  <c r="K53" i="38"/>
  <c r="N53" i="38"/>
  <c r="C98" i="43" l="1"/>
  <c r="J99" i="43"/>
  <c r="J101" i="43"/>
  <c r="J100" i="43"/>
  <c r="R53" i="42"/>
  <c r="T53" i="42" s="1"/>
  <c r="N53" i="42"/>
  <c r="P53" i="42" s="1"/>
  <c r="V53" i="42"/>
  <c r="AA53" i="42"/>
  <c r="AB53" i="42" s="1"/>
  <c r="Q54" i="38"/>
  <c r="C54" i="42" s="1"/>
  <c r="D54" i="42" s="1"/>
  <c r="W52" i="42"/>
  <c r="X52" i="42" s="1"/>
  <c r="AI52" i="42"/>
  <c r="AJ52" i="42" s="1"/>
  <c r="K52" i="42"/>
  <c r="L52" i="42" s="1"/>
  <c r="S53" i="38"/>
  <c r="O52" i="38"/>
  <c r="C53" i="42"/>
  <c r="D53" i="42" s="1"/>
  <c r="N54" i="38"/>
  <c r="L99" i="43" l="1"/>
  <c r="O99" i="43" s="1"/>
  <c r="P99" i="43" s="1"/>
  <c r="S99" i="43" s="1"/>
  <c r="T99" i="43" s="1"/>
  <c r="D98" i="43" s="1"/>
  <c r="A105" i="43" s="1"/>
  <c r="K8" i="43" s="1"/>
  <c r="K10" i="43" s="1"/>
  <c r="K14" i="43" s="1"/>
  <c r="K26" i="43" s="1"/>
  <c r="L100" i="43"/>
  <c r="O100" i="43" s="1"/>
  <c r="P100" i="43" s="1"/>
  <c r="S100" i="43" s="1"/>
  <c r="T100" i="43" s="1"/>
  <c r="L101" i="43"/>
  <c r="O101" i="43" s="1"/>
  <c r="P101" i="43" s="1"/>
  <c r="S101" i="43" s="1"/>
  <c r="T101" i="43" s="1"/>
  <c r="AA54" i="42"/>
  <c r="AB54" i="42" s="1"/>
  <c r="O54" i="42"/>
  <c r="N54" i="42"/>
  <c r="R54" i="42"/>
  <c r="T54" i="42" s="1"/>
  <c r="V54" i="42"/>
  <c r="X54" i="42" s="1"/>
  <c r="K53" i="42"/>
  <c r="L53" i="42" s="1"/>
  <c r="AI53" i="42"/>
  <c r="AJ53" i="42" s="1"/>
  <c r="W53" i="42"/>
  <c r="X53" i="42" s="1"/>
  <c r="O53" i="38"/>
  <c r="V28" i="38"/>
  <c r="V29" i="38" s="1"/>
  <c r="V30" i="38" s="1"/>
  <c r="V31" i="38" s="1"/>
  <c r="V32" i="38" s="1"/>
  <c r="V33" i="38" s="1"/>
  <c r="V34" i="38" s="1"/>
  <c r="V35" i="38" s="1"/>
  <c r="V36" i="38" s="1"/>
  <c r="V37" i="38" s="1"/>
  <c r="V38" i="38" s="1"/>
  <c r="V39" i="38" s="1"/>
  <c r="V40" i="38" s="1"/>
  <c r="V41" i="38" s="1"/>
  <c r="V42" i="38" s="1"/>
  <c r="V43" i="38" s="1"/>
  <c r="V44" i="38" s="1"/>
  <c r="V45" i="38" s="1"/>
  <c r="V46" i="38" s="1"/>
  <c r="V47" i="38" s="1"/>
  <c r="V48" i="38" s="1"/>
  <c r="V49" i="38" s="1"/>
  <c r="V50" i="38" s="1"/>
  <c r="V51" i="38" s="1"/>
  <c r="V52" i="38" s="1"/>
  <c r="V53" i="38" s="1"/>
  <c r="K30" i="43" l="1"/>
  <c r="K32" i="43"/>
  <c r="K31" i="43"/>
  <c r="P54" i="42"/>
  <c r="C105" i="43" l="1"/>
  <c r="J106" i="43"/>
  <c r="J107" i="43"/>
  <c r="J108" i="43"/>
  <c r="L107" i="43" l="1"/>
  <c r="O107" i="43" s="1"/>
  <c r="P107" i="43" s="1"/>
  <c r="S107" i="43" s="1"/>
  <c r="T107" i="43" s="1"/>
  <c r="L108" i="43"/>
  <c r="O108" i="43" s="1"/>
  <c r="P108" i="43" s="1"/>
  <c r="S108" i="43" s="1"/>
  <c r="T108" i="43" s="1"/>
  <c r="L106" i="43"/>
  <c r="O106" i="43" s="1"/>
  <c r="P106" i="43" s="1"/>
  <c r="S106" i="43" s="1"/>
  <c r="T106" i="43" s="1"/>
  <c r="D105" i="43" s="1"/>
  <c r="A112" i="43" s="1"/>
  <c r="L8" i="43" s="1"/>
  <c r="L10" i="43" s="1"/>
  <c r="L14" i="43" s="1"/>
  <c r="L26" i="43" s="1"/>
  <c r="L30" i="43" l="1"/>
  <c r="L31" i="43"/>
  <c r="L32" i="43"/>
  <c r="C112" i="43" l="1"/>
  <c r="J114" i="43"/>
  <c r="J115" i="43"/>
  <c r="J113" i="43"/>
  <c r="L115" i="43" l="1"/>
  <c r="O115" i="43" s="1"/>
  <c r="P115" i="43" s="1"/>
  <c r="S115" i="43" s="1"/>
  <c r="T115" i="43" s="1"/>
  <c r="L113" i="43"/>
  <c r="O113" i="43" s="1"/>
  <c r="P113" i="43" s="1"/>
  <c r="S113" i="43" s="1"/>
  <c r="T113" i="43" s="1"/>
  <c r="L114" i="43"/>
  <c r="O114" i="43" s="1"/>
  <c r="P114" i="43" s="1"/>
  <c r="S114" i="43" s="1"/>
  <c r="T114" i="43" s="1"/>
  <c r="D112" i="43" l="1"/>
  <c r="A119" i="43" s="1"/>
  <c r="M8" i="43" s="1"/>
  <c r="M10" i="43" s="1"/>
  <c r="M14" i="43" s="1"/>
  <c r="M26" i="43" s="1"/>
  <c r="M30" i="43" l="1"/>
  <c r="M31" i="43"/>
  <c r="M32" i="43"/>
  <c r="C119" i="43" l="1"/>
  <c r="J122" i="43"/>
  <c r="J121" i="43"/>
  <c r="J120" i="43"/>
  <c r="J128" i="43" l="1"/>
  <c r="L128" i="43" s="1"/>
  <c r="O128" i="43" s="1"/>
  <c r="P128" i="43" s="1"/>
  <c r="S128" i="43" s="1"/>
  <c r="T128" i="43" s="1"/>
  <c r="L121" i="43"/>
  <c r="O121" i="43" s="1"/>
  <c r="P121" i="43" s="1"/>
  <c r="S121" i="43" s="1"/>
  <c r="T121" i="43" s="1"/>
  <c r="L120" i="43"/>
  <c r="O120" i="43" s="1"/>
  <c r="P120" i="43" s="1"/>
  <c r="S120" i="43" s="1"/>
  <c r="T120" i="43" s="1"/>
  <c r="D119" i="43" s="1"/>
  <c r="A126" i="43" s="1"/>
  <c r="J127" i="43"/>
  <c r="J129" i="43"/>
  <c r="L129" i="43" s="1"/>
  <c r="O129" i="43" s="1"/>
  <c r="P129" i="43" s="1"/>
  <c r="S129" i="43" s="1"/>
  <c r="T129" i="43" s="1"/>
  <c r="L122" i="43"/>
  <c r="O122" i="43" s="1"/>
  <c r="P122" i="43" s="1"/>
  <c r="S122" i="43" s="1"/>
  <c r="T122" i="43" s="1"/>
  <c r="J131" i="43" l="1"/>
  <c r="L127" i="43"/>
  <c r="O127" i="43" s="1"/>
  <c r="P127" i="43" s="1"/>
  <c r="S127" i="43" s="1"/>
  <c r="T127" i="43" s="1"/>
  <c r="D126" i="43" s="1"/>
  <c r="K132" i="43" l="1"/>
  <c r="K133" i="43" s="1"/>
  <c r="K131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geoMap" description="Conexão com a consulta 'geoMap' na pasta de trabalho." type="5" refreshedVersion="8" background="1" saveData="1">
    <dbPr connection="Provider=Microsoft.Mashup.OleDb.1;Data Source=$Workbook$;Location=geoMap;Extended Properties=&quot;&quot;" command="SELECT * FROM [geoMap]"/>
  </connection>
  <connection id="2" xr16:uid="{00000000-0015-0000-FFFF-FFFF01000000}" keepAlive="1" name="Consulta - multiTimeline" description="Conexão com a consulta 'multiTimeline' na pasta de trabalho." type="5" refreshedVersion="8" background="1" saveData="1">
    <dbPr connection="Provider=Microsoft.Mashup.OleDb.1;Data Source=$Workbook$;Location=multiTimeline;Extended Properties=&quot;&quot;" command="SELECT * FROM [multiTimeline]"/>
  </connection>
  <connection id="3" xr16:uid="{00000000-0015-0000-FFFF-FFFF02000000}" keepAlive="1" name="Consulta - Template_Estimation (1)" description="Conexão com a consulta 'Template_Estimation (1)' na pasta de trabalho." type="5" refreshedVersion="8" background="1" saveData="1">
    <dbPr connection="Provider=Microsoft.Mashup.OleDb.1;Data Source=$Workbook$;Location=&quot;Template_Estimation (1)&quot;;Extended Properties=&quot;&quot;" command="SELECT * FROM [Template_Estimation (1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<sst xmlns="http://schemas.openxmlformats.org/spreadsheetml/2006/main" count="2701" uniqueCount="616">
  <si>
    <t>Fonte</t>
  </si>
  <si>
    <t>(billion passenger-km)</t>
  </si>
  <si>
    <t>(million ton-km equivalent)</t>
  </si>
  <si>
    <t>MJ/ton-km-eq</t>
  </si>
  <si>
    <t>MJ/pass-km-eq</t>
  </si>
  <si>
    <t>gCO2eq/MJ</t>
  </si>
  <si>
    <t>extras</t>
  </si>
  <si>
    <t>NOTES</t>
  </si>
  <si>
    <t>GDP per capita</t>
  </si>
  <si>
    <t>(million ton-kilometer)</t>
  </si>
  <si>
    <t>(million passenger-km)</t>
  </si>
  <si>
    <t>(million passenger-km-equivalent)</t>
  </si>
  <si>
    <t>MJ</t>
  </si>
  <si>
    <t>current international $</t>
  </si>
  <si>
    <t>Calculated</t>
  </si>
  <si>
    <t>WB</t>
  </si>
  <si>
    <t>1.convert historical demand for frieght and passenger (ton-km equivalent)</t>
  </si>
  <si>
    <t>1.convert historical demand for frieght and passenger (pass-km equivalent)</t>
  </si>
  <si>
    <t>2. divide fuel demand in MJ by aviaiotn demand</t>
  </si>
  <si>
    <t>2. divide by fuel consumption in MJ</t>
  </si>
  <si>
    <t>Paper values</t>
  </si>
  <si>
    <t>2019 Percentage split passenger freight</t>
  </si>
  <si>
    <t>passenger</t>
  </si>
  <si>
    <t>freight</t>
  </si>
  <si>
    <t>Decreases in 2020 compared to 2019</t>
  </si>
  <si>
    <t>Passenger demand in 2021 compared to 2019</t>
  </si>
  <si>
    <t>-</t>
  </si>
  <si>
    <t>Total</t>
  </si>
  <si>
    <t>Ano</t>
  </si>
  <si>
    <t>NacDom</t>
  </si>
  <si>
    <t>NacIntl</t>
  </si>
  <si>
    <t>EstDom</t>
  </si>
  <si>
    <t>EstIntl</t>
  </si>
  <si>
    <t>(bilhão passengeiro-km)</t>
  </si>
  <si>
    <t>Demanda de Passageiro (D)</t>
  </si>
  <si>
    <t>Demanda de carga (D)</t>
  </si>
  <si>
    <t>BAU</t>
  </si>
  <si>
    <t>(milhão t-km)</t>
  </si>
  <si>
    <t>(milhão t-km equivalente)</t>
  </si>
  <si>
    <t>mil m^3</t>
  </si>
  <si>
    <t>Carga 106 t.km</t>
  </si>
  <si>
    <t>Fonte: EPE</t>
  </si>
  <si>
    <t>1. Densidade em 15 °C: 775-840 (média: 807,7) Ng et. al., 2021</t>
  </si>
  <si>
    <t>2. Poder calorífico é 48,2 segundo Ng et. Al., 2021</t>
  </si>
  <si>
    <t>Cálculo estimado:</t>
  </si>
  <si>
    <t>Brasil</t>
  </si>
  <si>
    <t>https://data.worldbank.org/indicator/NY.GDP.PCAP.PP.CD?name_desc=false&amp;locations=BR</t>
  </si>
  <si>
    <t>ANAC/EPE</t>
  </si>
  <si>
    <t>SEEG - Sistema de Estimativa de Emissão de Gases</t>
  </si>
  <si>
    <t>Histórico da demanda de passageiros</t>
  </si>
  <si>
    <t>Histórico de emissões</t>
  </si>
  <si>
    <t>Histórico da demanda de carga</t>
  </si>
  <si>
    <t>Histórico de demanda combinado</t>
  </si>
  <si>
    <t>Consumo de combustível</t>
  </si>
  <si>
    <t>Intensidade de carbono</t>
  </si>
  <si>
    <t>EPE/ANP</t>
  </si>
  <si>
    <t>(t CO2eq) GWP100-AR6</t>
  </si>
  <si>
    <t>Cálculo</t>
  </si>
  <si>
    <t xml:space="preserve">1. Converter bilhão de pkm pra milhão de pkm </t>
  </si>
  <si>
    <t>2. Depois multiplique por 90 kg (assumindo dado da IEA: https://www.iea.org/data-and-statistics/charts/energy-intensity-of-passenger-aviation-in-the-net-zero-scenario-2000-2030)</t>
  </si>
  <si>
    <t>3. Então divida por 1000 para obter o valor em toneladas</t>
  </si>
  <si>
    <t>Projeções para o PDE 2034</t>
  </si>
  <si>
    <t xml:space="preserve">2. Multiplicar por 1000 </t>
  </si>
  <si>
    <t>4. Adicione a carga</t>
  </si>
  <si>
    <t>1. Converter tonelada carga dividindo por 90 para obter em passageiro</t>
  </si>
  <si>
    <t>1. convert emissions from t to g</t>
  </si>
  <si>
    <t>Evolução histórica do PIB (1990-2000):</t>
  </si>
  <si>
    <t>Taxa interanual</t>
  </si>
  <si>
    <t>(milhão passageiro-km equivalente)</t>
  </si>
  <si>
    <t>BUA</t>
  </si>
  <si>
    <t>MJ/t-km-eq</t>
  </si>
  <si>
    <t>Aviação se recupera em 2024 (atingindo valor  de 2019), e cresce a uma taxa de 3,033% ao ano, seguindo o crescimento médio do PIB de 1990-2019</t>
  </si>
  <si>
    <t>Demanda de carga na aviação cresce com o PIB. PIB cresceu em 3,033% 1990-2019</t>
  </si>
  <si>
    <t>Demanda Combinada (D)</t>
  </si>
  <si>
    <t>Intensidade Energética (e)</t>
  </si>
  <si>
    <t>Histórico da intensidade Energética</t>
  </si>
  <si>
    <t>PIB</t>
  </si>
  <si>
    <t>Projeção Acelerada</t>
  </si>
  <si>
    <t>Variação do PIB</t>
  </si>
  <si>
    <t>(PIB_2 - PIB_1)/PIB_1</t>
  </si>
  <si>
    <t>Projeção Moderada</t>
  </si>
  <si>
    <t>Elasticidade de 1,59(https://doi.org/10.1016/j.cstp.2022.04.012 )</t>
  </si>
  <si>
    <t xml:space="preserve">O cenário prevê melhorias moderadas, com uma taxa de eficiência de combustível de 0,96% a.a e a adoção de iniciativas operacionais conservadoras, como NextGen e SESAR </t>
  </si>
  <si>
    <t>A eficiência no consumo de combustível em 2050 será 27% melhor em comparação com 2023, resultando em um aumento anual de 1,16% até 2050, conforme as medidas do terceiro cenário da CAEP/12[1]. (ICAO, 2022)</t>
  </si>
  <si>
    <t>[1] Committee on Aviation Environmental Protection é um comitê técnico do Conselho da ICAO, estabelecido em 1983, com objetivo de assistir na formulação de novas políticas e práticas relacionados ao ruído e emissões de aeronaves, e, de forma mais geral, nas avaliações ambientais da aviação.</t>
  </si>
  <si>
    <t>A eficiência no consumo de combustível em 2050 será 34,1% melhor em comparação com 2023, resultando em um aumento anual de 1,54% até 2050, conforme as medidas do quarto cenário da CAEP/12 (ICAO, 2022).</t>
  </si>
  <si>
    <t>Combustível necessário (MJ)</t>
  </si>
  <si>
    <t>Intensidade Energética (MJ/t-km-eq)</t>
  </si>
  <si>
    <t>Demanda (t-km eq)</t>
  </si>
  <si>
    <t>DEMANDA-INTENSIDADE ENERGÉTICA</t>
  </si>
  <si>
    <t>Elasticidade de 1,29(https://doi.org/10.1016/j.cstp.2022.04.012 )</t>
  </si>
  <si>
    <t>Elasticidade preço</t>
  </si>
  <si>
    <t>Elasticidade PIB</t>
  </si>
  <si>
    <t>Elasticidade PIB de 0,71 no período de 2011-2019 (https://doi.org/10.1016/j.cstp.2022.04.012 )</t>
  </si>
  <si>
    <t>Elasticidade PIB de 0,54 no período de 2011-2013 (https://doi.org/10.1016/j.cstp.2022.04.012 )</t>
  </si>
  <si>
    <t>2000 - 2013</t>
  </si>
  <si>
    <t>2011 - 2019</t>
  </si>
  <si>
    <t>2011 - 2013</t>
  </si>
  <si>
    <t>2014 - 2019</t>
  </si>
  <si>
    <t>BOOM ECONÔMICO</t>
  </si>
  <si>
    <t>RECESSÃO</t>
  </si>
  <si>
    <t>Projeção Lenta</t>
  </si>
  <si>
    <t>Projeção de demanda SAF-HEFA Soja (mil m3) (% de diesel verde c/ usina jetfuel max)</t>
  </si>
  <si>
    <t>Voos Domésticos</t>
  </si>
  <si>
    <t xml:space="preserve"> -</t>
  </si>
  <si>
    <t>Voos Internacionais</t>
  </si>
  <si>
    <t>Preço SAF</t>
  </si>
  <si>
    <t>Preço QAV</t>
  </si>
  <si>
    <t>R/L</t>
  </si>
  <si>
    <t>Delta</t>
  </si>
  <si>
    <t xml:space="preserve">Quanto da tarifa é combustível? </t>
  </si>
  <si>
    <t>Acrescido na tarifa</t>
  </si>
  <si>
    <t>Quanto do combustível é SAF?</t>
  </si>
  <si>
    <t>descobrir pelo mandato de redução de emissões e IC do SAF</t>
  </si>
  <si>
    <t>1. estimar a entrada da SAF, ver o diferencial de valor em relação ao QAV</t>
  </si>
  <si>
    <t>2. transmitir esse aumento para tarifa</t>
  </si>
  <si>
    <t>3. assumir a elasticidade preço da demanda do paper que compartilhou (por exemplo, assumir o valor do Brasil para o período sem recessão, para ser conservador)</t>
  </si>
  <si>
    <t>4. estimar a queda da demanda</t>
  </si>
  <si>
    <t>5. estimar a nova demanda de saf</t>
  </si>
  <si>
    <t>fazer até que não gera alteração significativa na demanda por SAF.</t>
  </si>
  <si>
    <t>Isso mostraria quanto, sem medidas de amortecimento do aumento de custo, a demanda poderia cair e consequentemente o mercado de QAV e SAF, claro.</t>
  </si>
  <si>
    <t>Aumento do preço por litro*</t>
  </si>
  <si>
    <t>função do preço do QAV e do SAF</t>
  </si>
  <si>
    <t>Aumento do custo com combustível</t>
  </si>
  <si>
    <t>Elasticidade-preço</t>
  </si>
  <si>
    <t>Epd</t>
  </si>
  <si>
    <t>DQ</t>
  </si>
  <si>
    <t>quer saber</t>
  </si>
  <si>
    <t>ou seja, quanto varia a demanda (quantidade demandada) em função da variação no preço</t>
  </si>
  <si>
    <t>Q</t>
  </si>
  <si>
    <t>demanda (no ponto [tempo] escolhido)</t>
  </si>
  <si>
    <t>DP</t>
  </si>
  <si>
    <t>variação no preço</t>
  </si>
  <si>
    <t>preço</t>
  </si>
  <si>
    <t>P</t>
  </si>
  <si>
    <t>DP/P</t>
  </si>
  <si>
    <t>variação percentual do preço = "acrescido na tarifa" B18</t>
  </si>
  <si>
    <t>DQ/Q</t>
  </si>
  <si>
    <t>variação percentual na demanda</t>
  </si>
  <si>
    <t>Estimar nova demanda de SAF</t>
  </si>
  <si>
    <t>Demanda SAF (políticas)</t>
  </si>
  <si>
    <t>gCO2/MJ</t>
  </si>
  <si>
    <t>1 CENÁRIO</t>
  </si>
  <si>
    <t>Fator de emissão SAF</t>
  </si>
  <si>
    <t>%</t>
  </si>
  <si>
    <t>Redução de emissões SAF</t>
  </si>
  <si>
    <t>Demanda energética SAF</t>
  </si>
  <si>
    <t>gCO2</t>
  </si>
  <si>
    <t>"Volume de SAF"</t>
  </si>
  <si>
    <t>% energ.</t>
  </si>
  <si>
    <t>Demanda referência</t>
  </si>
  <si>
    <t>Demanda energética (futura)</t>
  </si>
  <si>
    <t>Emissão referência</t>
  </si>
  <si>
    <t>Futuro</t>
  </si>
  <si>
    <t>Mandato de redução de emissão vs ano de referência</t>
  </si>
  <si>
    <t>Emissão 
"tudo QAV"</t>
  </si>
  <si>
    <t>Fator de emissão QAV</t>
  </si>
  <si>
    <t>Redução de emissão vs ano de referência</t>
  </si>
  <si>
    <t>Redução via SAF no ano "destino"</t>
  </si>
  <si>
    <t>Redução via SAF para chegar no ano de ref.</t>
  </si>
  <si>
    <t>CORSIA - PROBIOQAV</t>
  </si>
  <si>
    <t>Problema: Mandato internacional e nacional são diferentes, então a porcentagem tem que se aplicada em cima dos valores demandado para cada "setor"</t>
  </si>
  <si>
    <t>ITERAÇÃO 1</t>
  </si>
  <si>
    <t>ITERAÇÃO 2</t>
  </si>
  <si>
    <t>Quanto do combustível é SAF? [SAÍDA]</t>
  </si>
  <si>
    <t>Quanto do combustível é SAF? [ENTRADA]</t>
  </si>
  <si>
    <t>NÃO FOI USADO NA PRIMEIRA ITERAÇÃO</t>
  </si>
  <si>
    <t>A PRIMEIRA ITERAÇÃO É UTILIZADA PARA CALCULAR A MISTURA DE SAF EM FUNÇÃO DO MANDATO</t>
  </si>
  <si>
    <t>ITERAÇÃO 3</t>
  </si>
  <si>
    <t>iteração 1</t>
  </si>
  <si>
    <t>iteração 2</t>
  </si>
  <si>
    <t>variação percentual do preço = "acrescido na tarifa" B19</t>
  </si>
  <si>
    <t>variação percentual do preço = "acrescido na tarifa" B20</t>
  </si>
  <si>
    <t>variação percentual do preço = "acrescido na tarifa" B21</t>
  </si>
  <si>
    <t>variação percentual do preço = "acrescido na tarifa" B22</t>
  </si>
  <si>
    <t>variação percentual do preço = "acrescido na tarifa" B23</t>
  </si>
  <si>
    <t>variação percentual do preço = "acrescido na tarifa" B24</t>
  </si>
  <si>
    <t>NÃO REDUZIMOS DEMANDA NA ITERAÇÃO 1</t>
  </si>
  <si>
    <t>A redução pela inserção de SAF em cima da demanda foi tão significativa, que as metas de emissões são alcançadas reduzindo a demanda</t>
  </si>
  <si>
    <t>ITERAÇÃO 4</t>
  </si>
  <si>
    <t>ITERAÇÃO 5</t>
  </si>
  <si>
    <t>ITERAÇÃO 6</t>
  </si>
  <si>
    <t>variação percentual do preço = "acrescido na tarifa" B25</t>
  </si>
  <si>
    <t>variação percentual do preço = "acrescido na tarifa" B26</t>
  </si>
  <si>
    <t>variação percentual do preço = "acrescido na tarifa" B27</t>
  </si>
  <si>
    <t>variação percentual do preço = "acrescido na tarifa" B28</t>
  </si>
  <si>
    <t>ITERAÇÃO 7</t>
  </si>
  <si>
    <t>ITERAÇÃO 8</t>
  </si>
  <si>
    <t>ITERAÇÃO 9</t>
  </si>
  <si>
    <t>ITERAÇÃO 10</t>
  </si>
  <si>
    <t>ITERAÇÃO 11</t>
  </si>
  <si>
    <t>Querosene de Aviação - QAV (R$/litro)</t>
  </si>
  <si>
    <t>***</t>
  </si>
  <si>
    <t>Produto</t>
  </si>
  <si>
    <t>Período</t>
  </si>
  <si>
    <t>Região</t>
  </si>
  <si>
    <t>(A partir de 2013)</t>
  </si>
  <si>
    <t>Norte</t>
  </si>
  <si>
    <t>Nordeste</t>
  </si>
  <si>
    <t>Centro-Oeste</t>
  </si>
  <si>
    <t>Sul</t>
  </si>
  <si>
    <t>Sudeste</t>
  </si>
  <si>
    <t>Ano 2024</t>
  </si>
  <si>
    <t>média</t>
  </si>
  <si>
    <t>PREÇOS MÉDIOS PONDERADOS SEMANAIS PRATICADOS POR PRODUTORES E IMPORTADORES DE DERIVADOS DE PETRÓLEO E BIODIESEL</t>
  </si>
  <si>
    <r>
      <rPr>
        <b/>
        <sz val="11"/>
        <color indexed="10"/>
        <rFont val="Calibri"/>
        <family val="2"/>
      </rPr>
      <t>IMPORTANTE:</t>
    </r>
    <r>
      <rPr>
        <sz val="11"/>
        <color indexed="10"/>
        <rFont val="Calibri"/>
        <family val="2"/>
      </rPr>
      <t xml:space="preserve"> </t>
    </r>
    <r>
      <rPr>
        <sz val="11"/>
        <rFont val="Calibri"/>
        <family val="2"/>
      </rPr>
      <t>O produto 'Óleo Diesel' contempla os diversos tipos de óleo diesel automotivo comercializados no país.</t>
    </r>
  </si>
  <si>
    <t>(Não inclui ICMS)</t>
  </si>
  <si>
    <t>Média ultimos 5 anos:</t>
  </si>
  <si>
    <t>Rota tecnológica</t>
  </si>
  <si>
    <t>Matéria-prima</t>
  </si>
  <si>
    <t>Referências</t>
  </si>
  <si>
    <t>HEFA-SPK</t>
  </si>
  <si>
    <t>Óleo de soja</t>
  </si>
  <si>
    <t>0,77 – 1,13</t>
  </si>
  <si>
    <t>(NG; FAROOQ; YANG, 2021; WANG, 2016)</t>
  </si>
  <si>
    <t>Óleo de palma</t>
  </si>
  <si>
    <t>0,74 – 1,13</t>
  </si>
  <si>
    <t>(NG; FAROOQ; YANG, 2021; SHAHRIAR; KHANAL, 2022a; WANG, 2016)</t>
  </si>
  <si>
    <t>Óleo de Macaúba</t>
  </si>
  <si>
    <t>(WANG, 2016)</t>
  </si>
  <si>
    <t>Óleo de cozinha usado</t>
  </si>
  <si>
    <t xml:space="preserve">1,27 – 1,32 </t>
  </si>
  <si>
    <t>ATJ-SPK</t>
  </si>
  <si>
    <t>Cana-de-açúcar</t>
  </si>
  <si>
    <t>1,01 – 1,86</t>
  </si>
  <si>
    <t>(NG; FAROOQ; YANG, 2021; SHAHRIAR; KHANAL, 2022a)</t>
  </si>
  <si>
    <t>Milho</t>
  </si>
  <si>
    <t>1,11 – 1,86</t>
  </si>
  <si>
    <t>Resíduos florestais</t>
  </si>
  <si>
    <t>(NG; FAROOQ; YANG, 2021)</t>
  </si>
  <si>
    <t>Resíduos agrícolas</t>
  </si>
  <si>
    <t>FT-SPK</t>
  </si>
  <si>
    <t>Madeira</t>
  </si>
  <si>
    <t>Bagaço de cana</t>
  </si>
  <si>
    <t>(REAL GUIMARÃES et al., 2023; WATSON et al., 2024b)</t>
  </si>
  <si>
    <t>SIP-SPK</t>
  </si>
  <si>
    <t>(SHAHRIAR; KHANAL, 2022b)</t>
  </si>
  <si>
    <t>(MICHAILOS; WEBB, 2019)</t>
  </si>
  <si>
    <t>(TANZIL et al., 2022)</t>
  </si>
  <si>
    <t>CHJ-SPK</t>
  </si>
  <si>
    <t>(ESWARAN et al., 2021)</t>
  </si>
  <si>
    <t>iteração 3</t>
  </si>
  <si>
    <t>iteração 4</t>
  </si>
  <si>
    <t>iteração 5</t>
  </si>
  <si>
    <t>iteração 6</t>
  </si>
  <si>
    <t>iteração 7</t>
  </si>
  <si>
    <t>iteração 8</t>
  </si>
  <si>
    <t>iteração 9</t>
  </si>
  <si>
    <t>iteração 10</t>
  </si>
  <si>
    <t>iteração 11</t>
  </si>
  <si>
    <t>iteração 12</t>
  </si>
  <si>
    <t>iteração 13</t>
  </si>
  <si>
    <t>Preço HEFA - Soja (R$/L)</t>
  </si>
  <si>
    <t>Preço QAV (R$/L)</t>
  </si>
  <si>
    <t>Quant</t>
  </si>
  <si>
    <t>Checar se está com preço do tributo</t>
  </si>
  <si>
    <t>Qual percentual de tributo que incide</t>
  </si>
  <si>
    <t>Confirmar com o Marcelo</t>
  </si>
  <si>
    <t>Jaqueline</t>
  </si>
  <si>
    <t>Redução do tributo para implementar SAF</t>
  </si>
  <si>
    <t>Qual percentual de blend? ProbioQAV</t>
  </si>
  <si>
    <t>Dissertação da TAMAR tem esse dado</t>
  </si>
  <si>
    <t>Fazer uma análise econométrica ()</t>
  </si>
  <si>
    <t>Considerações finais</t>
  </si>
  <si>
    <t>Data</t>
  </si>
  <si>
    <t>Manaus</t>
  </si>
  <si>
    <t xml:space="preserve">Itaqui         </t>
  </si>
  <si>
    <t xml:space="preserve">Suape         </t>
  </si>
  <si>
    <t xml:space="preserve">Aratu         </t>
  </si>
  <si>
    <t xml:space="preserve">Santos     </t>
  </si>
  <si>
    <t xml:space="preserve">Paranagua       </t>
  </si>
  <si>
    <t>Tramandai</t>
  </si>
  <si>
    <t>Guamaré</t>
  </si>
  <si>
    <t>Duque de Caxias</t>
  </si>
  <si>
    <t>Betim</t>
  </si>
  <si>
    <t>Cubatão</t>
  </si>
  <si>
    <t>Mauá</t>
  </si>
  <si>
    <t>Paulínia</t>
  </si>
  <si>
    <t>São José dos Campos</t>
  </si>
  <si>
    <t>Araucária</t>
  </si>
  <si>
    <t>Canoas</t>
  </si>
  <si>
    <t>05/11/2018 a 09/11/2018</t>
  </si>
  <si>
    <t>12/11/2018 a 16/11/2018</t>
  </si>
  <si>
    <t>17/11/2018 a 21/11/2018</t>
  </si>
  <si>
    <t>26/11/2018 a 30/11/2018</t>
  </si>
  <si>
    <t>03/12/2018 a 07/12/2018</t>
  </si>
  <si>
    <t>10/12/2018 a 14/12/2018</t>
  </si>
  <si>
    <t>17/12/2018 a 21/12/2018</t>
  </si>
  <si>
    <t>24/12/2018 a 28/12/2018</t>
  </si>
  <si>
    <t>31/12/2018 a 04/01/2019</t>
  </si>
  <si>
    <t>07/01/2019 a 11/01/2019</t>
  </si>
  <si>
    <t>14/01/2019 a 18/01/2019</t>
  </si>
  <si>
    <t>21/01/2019 a 25/01/2019</t>
  </si>
  <si>
    <t>28/01/2019 a 01/02/2019</t>
  </si>
  <si>
    <t>04/02/2019 a 08/02/2019</t>
  </si>
  <si>
    <t>11/02/2019 a 15/02/2019</t>
  </si>
  <si>
    <t>18/02/2019 a 22/02/2019</t>
  </si>
  <si>
    <t>25/02/2019 a 01/03/2019</t>
  </si>
  <si>
    <t>04/03/2019 a 08/03/2019</t>
  </si>
  <si>
    <t>11/03/2019 a 15/03/2019</t>
  </si>
  <si>
    <t>18/03/2019 a 22/03/2019</t>
  </si>
  <si>
    <t>25/03/2019 a 29/03/2019</t>
  </si>
  <si>
    <t>01/04/2019 a 05/04/2019</t>
  </si>
  <si>
    <t>08/04/2019 a 12/04/2019</t>
  </si>
  <si>
    <t>14/04/2019 a 18/04/2019</t>
  </si>
  <si>
    <t>22/04/2019 a 26/04/2019</t>
  </si>
  <si>
    <t>29/04/2019 a 03/05/2019</t>
  </si>
  <si>
    <t>06/05/2019 a 10/05/2019</t>
  </si>
  <si>
    <t>13/05/2019 a 17/05/2019</t>
  </si>
  <si>
    <t>20/05/2019 a 24/05/2019</t>
  </si>
  <si>
    <t>27/05/2019 a 31/05/2019</t>
  </si>
  <si>
    <t>03/06/2019 a 07/06/2019</t>
  </si>
  <si>
    <t>10/06/2019 a 14/06/2019</t>
  </si>
  <si>
    <t>17/06/2019 A 21/06/2019</t>
  </si>
  <si>
    <t>24/06/2019 A 28/06/2019</t>
  </si>
  <si>
    <t>01/07/2019 A 05/07/2019</t>
  </si>
  <si>
    <t>08/07/2019 A 12/07/2019</t>
  </si>
  <si>
    <t>15/07/2019 A 19/07/2019</t>
  </si>
  <si>
    <t>22/07/2019 A 26/07/2019</t>
  </si>
  <si>
    <t>29/07/2019 A 02/08/2019</t>
  </si>
  <si>
    <t>05/08/2019 A 09/08/2019</t>
  </si>
  <si>
    <t>12/08/2019 A 16/08/2019</t>
  </si>
  <si>
    <t>19/08/2019 A 23/08/2019</t>
  </si>
  <si>
    <t>26/08/2019 A 30/08/2019</t>
  </si>
  <si>
    <t>02/09/2019 A 06/09/2019</t>
  </si>
  <si>
    <t>09/09/2019 A 13/09/2019</t>
  </si>
  <si>
    <t>16/09/2019 A 20/09/2019</t>
  </si>
  <si>
    <t>23/09/2019 A 27/09/2019</t>
  </si>
  <si>
    <t>30/09/2019 A 04/10/2019</t>
  </si>
  <si>
    <t>07/10/2019 A 11/10/2019</t>
  </si>
  <si>
    <t>14/10/2019 A 18/10/2019</t>
  </si>
  <si>
    <t>21/10/2019 A 25/10/2019</t>
  </si>
  <si>
    <t>28/10/2019 A 01/11/2019</t>
  </si>
  <si>
    <t>04/11/2019 A 08/11/2019</t>
  </si>
  <si>
    <t>11/11/2019 A 15/11/2019</t>
  </si>
  <si>
    <t>18/11/2019 A 22/11/2019</t>
  </si>
  <si>
    <t>25/11/2019 A 29/11/2019</t>
  </si>
  <si>
    <t>02/12/2019 A 06/12/2019</t>
  </si>
  <si>
    <t>09/12/2019 A 13/12/2019</t>
  </si>
  <si>
    <t>16/12/2019 A 20/12/2019</t>
  </si>
  <si>
    <t>23/12/2019 A 27/12/2019</t>
  </si>
  <si>
    <t>30/12/2019 A 03/01/2020</t>
  </si>
  <si>
    <t>06/01/2020 A 10/01/2020</t>
  </si>
  <si>
    <t>13/01/2020 A 17/01/2020</t>
  </si>
  <si>
    <t>20/01/2020 A 24/01/2020</t>
  </si>
  <si>
    <t>27/01/2020 A 31/01/2020</t>
  </si>
  <si>
    <t>03/02/2020 A 07/02/2020</t>
  </si>
  <si>
    <t>10/02/2020 A 14/02/2020</t>
  </si>
  <si>
    <t>17/02/2020 A 21/02/2020</t>
  </si>
  <si>
    <t>24/02/2020 A 28/02/2020</t>
  </si>
  <si>
    <t>02/03/2020 A 06/03/2020</t>
  </si>
  <si>
    <t>09/03/2020 A 13/03/2020</t>
  </si>
  <si>
    <t>16/03/2020 A 20/03/2020</t>
  </si>
  <si>
    <t>23/03/2020 A 27/03/2020</t>
  </si>
  <si>
    <t>30/03/2020 A 03/04/2020</t>
  </si>
  <si>
    <t>06/04/2020 A 09/04/2020</t>
  </si>
  <si>
    <t>13/04/2020 A 17/04/2020</t>
  </si>
  <si>
    <t>20/04/2020 A 24/04/2020</t>
  </si>
  <si>
    <t>27/04/2020 A 01/05/2020</t>
  </si>
  <si>
    <t>04/05/2020 A 08/05/2020</t>
  </si>
  <si>
    <t>11/05/2020 A 15/05/2020</t>
  </si>
  <si>
    <t>18/05/2020 A 22/05/2020</t>
  </si>
  <si>
    <t>25/05/2020 A 29/05/2020</t>
  </si>
  <si>
    <t>01/06/2020 A 05/06/2020</t>
  </si>
  <si>
    <t>08/06/2020 A 12/06/2020</t>
  </si>
  <si>
    <t>15/06/2020 A 19/06/2020</t>
  </si>
  <si>
    <t>22/06/2020 A 26/06/2020</t>
  </si>
  <si>
    <t>29/06/2020 A 02/07/2020</t>
  </si>
  <si>
    <t>06/07/2020 A 10/07/2020</t>
  </si>
  <si>
    <t>13/07/2020 A 17/07/2020</t>
  </si>
  <si>
    <t>20/07/2020 A 24/07/2020</t>
  </si>
  <si>
    <t>27/07/2020 A 31/07/2020</t>
  </si>
  <si>
    <t>03/08/2020 A 07/08/2020</t>
  </si>
  <si>
    <t>10/08/2020 A 14/08/2020</t>
  </si>
  <si>
    <t>17/08/2020 A 21/08/2020</t>
  </si>
  <si>
    <t>24/08/2020 A 28/08/2020</t>
  </si>
  <si>
    <t>31/08/2020 A 04/09/2020</t>
  </si>
  <si>
    <t>07/09/2020 A 11/09/2020</t>
  </si>
  <si>
    <t>14/09/2020 A 18/09/2020</t>
  </si>
  <si>
    <t>21/09/2020 A 25/09/2020</t>
  </si>
  <si>
    <t>28/09/2020 A 02/10/2020</t>
  </si>
  <si>
    <t>05/10/2020 A 09/10/2020</t>
  </si>
  <si>
    <t>12/10/2020 A 16/10/2020</t>
  </si>
  <si>
    <t>19/10/2020 A 23/10/2020</t>
  </si>
  <si>
    <t>26/10/2020 A 30/10/2020</t>
  </si>
  <si>
    <t>02/11/2020 A 06/11/2020</t>
  </si>
  <si>
    <t>09/11/2020 A 13/11/2020</t>
  </si>
  <si>
    <t>16/11/2020 A 20/11/2020</t>
  </si>
  <si>
    <t>23/11/2020 A 25/11/2020</t>
  </si>
  <si>
    <t>30/11/2020 A 04/12/2020</t>
  </si>
  <si>
    <t>07/12/2020 A 11/12/2020</t>
  </si>
  <si>
    <t>14/12/2020 A 18/12/2020</t>
  </si>
  <si>
    <t>21/12/2020 A 24/12/2020</t>
  </si>
  <si>
    <t>28/12/2020 A 31/12/2020</t>
  </si>
  <si>
    <t>04/01/2021 A 08/01/2021</t>
  </si>
  <si>
    <t>11/01/2021 A 15/01/2021</t>
  </si>
  <si>
    <t>18/01/2021 A 22/01/2021</t>
  </si>
  <si>
    <t>25/01/2021 A 29/01/2021</t>
  </si>
  <si>
    <t>01/02/2021 A 05/02/2021</t>
  </si>
  <si>
    <t>08/02/2021 A 12/02/2021</t>
  </si>
  <si>
    <t>15/02/2021 A 19/02/2021</t>
  </si>
  <si>
    <t>22/02/2021 A 26/02/2021</t>
  </si>
  <si>
    <t>01/03/2021 A 05/03/2021</t>
  </si>
  <si>
    <t>08/03/2021 A 12/03/2021</t>
  </si>
  <si>
    <t>15/03/2021 A 19/03/2021</t>
  </si>
  <si>
    <t>22/03/2021 A 26/03/2021</t>
  </si>
  <si>
    <t>29/03/2021 A 01/04/2021</t>
  </si>
  <si>
    <t>05/04/2021 A 09/04/2021</t>
  </si>
  <si>
    <t>12/04/2021 A 16/04/2021</t>
  </si>
  <si>
    <t>19/04/2021 A 23/04/2021</t>
  </si>
  <si>
    <t>26/04/2021 A 30/04/2021</t>
  </si>
  <si>
    <t>03/05/2021 A 07/05/2021</t>
  </si>
  <si>
    <t>10/05/2021 A 14/05/2021</t>
  </si>
  <si>
    <t>17/05/2021 A 21/05/2021</t>
  </si>
  <si>
    <t>24/05/2021 A 28/05/2021</t>
  </si>
  <si>
    <t>31/05/2021 A 04/06/2021</t>
  </si>
  <si>
    <t>07/06/2021 A 11/06/2021</t>
  </si>
  <si>
    <t>14/06/2021 A 18/06/2021</t>
  </si>
  <si>
    <t>21/06/2021 A 25/06/2021</t>
  </si>
  <si>
    <t>28/06/2021 A 02/07/2021</t>
  </si>
  <si>
    <t>05/07/2021 A 09/07/2021</t>
  </si>
  <si>
    <t>12/07/2021 A 16/07/2021</t>
  </si>
  <si>
    <t>19/07/2021 A 23/07/2021</t>
  </si>
  <si>
    <t>26/07/2021 A 30/07/2021</t>
  </si>
  <si>
    <t>02/08/2021 A 06/08/2021</t>
  </si>
  <si>
    <t>09/08/2021 A 13/08/2021</t>
  </si>
  <si>
    <t>16/08/2021 A 20/08/2021</t>
  </si>
  <si>
    <t>23/08/2021 A 27/08/2021</t>
  </si>
  <si>
    <t>30/08/2021 A 03/09/2021</t>
  </si>
  <si>
    <t>06/09/2021 A 10/09/2021</t>
  </si>
  <si>
    <t>13/09/2021 A 17/09/2021</t>
  </si>
  <si>
    <t>20/09/2021 A 24/09/2021</t>
  </si>
  <si>
    <t>27/09/2021 A 01/10/2021</t>
  </si>
  <si>
    <t>04/10/2021 A 08/10/2021</t>
  </si>
  <si>
    <t>11/10/2021 A 15/10/2021</t>
  </si>
  <si>
    <t>18/10/2021 A 22/10/2021</t>
  </si>
  <si>
    <t>25/10/2021 A 29/10/2021</t>
  </si>
  <si>
    <t>01/11/2021 A 05/11/2021</t>
  </si>
  <si>
    <t>08/11/2021 A 12/11/2021</t>
  </si>
  <si>
    <t>15/11/2021 A 19/11/2021</t>
  </si>
  <si>
    <t>22/11/2021 A 24/11/2021</t>
  </si>
  <si>
    <t>29/11/2021 A 03/12/2021</t>
  </si>
  <si>
    <t>06/12/2021 A 10/12/2021</t>
  </si>
  <si>
    <t>13/12/2021 A 17/12/2021</t>
  </si>
  <si>
    <t>20/12/2021 A 23/12/2021</t>
  </si>
  <si>
    <t>27/12/2021 A 30/12/2021</t>
  </si>
  <si>
    <t>03/01/2022 A 07/01/2022</t>
  </si>
  <si>
    <t>10/01/2022 A 14/01/2022</t>
  </si>
  <si>
    <t>17/01/2022 A 21/01/2022</t>
  </si>
  <si>
    <t>24/01/2022 A 28/01/2022</t>
  </si>
  <si>
    <t>31/01/2022 A 04/02/2022</t>
  </si>
  <si>
    <t>07/02/2022 A 11/02/2022</t>
  </si>
  <si>
    <t>14/02/2022 A 18/02/2022</t>
  </si>
  <si>
    <t>21/02/2022 A 25/02/2022</t>
  </si>
  <si>
    <t>28/02/2022 A 04/03/2022</t>
  </si>
  <si>
    <t>07/03/2022 A 11/03/2022</t>
  </si>
  <si>
    <t>14/03/2022 A 18/03/2022</t>
  </si>
  <si>
    <t>21/03/2022 A 25/03/2022</t>
  </si>
  <si>
    <t>28/03/2022 A 01/04/2022</t>
  </si>
  <si>
    <t>04/04/2022 A 08/04/2022</t>
  </si>
  <si>
    <t>11/04/2022 A 14/04/2022</t>
  </si>
  <si>
    <t>18/04/2022 A 22/04/2022</t>
  </si>
  <si>
    <t>25/04/2022 A 29/04/2022</t>
  </si>
  <si>
    <t>02/05/2022 A 06/05/2022</t>
  </si>
  <si>
    <t>09/05/2022 A 13/05/2022</t>
  </si>
  <si>
    <t>16/05/2022 A 20/05/2022</t>
  </si>
  <si>
    <t>23/05/2022 A 27/05/2022</t>
  </si>
  <si>
    <t>30/05/2022 A 03/06/2022</t>
  </si>
  <si>
    <t>06/06/2022 A 10/06/2022</t>
  </si>
  <si>
    <t>13/06/2022 A 17/06/2022</t>
  </si>
  <si>
    <t>20/06/2022 A 24/06/2022</t>
  </si>
  <si>
    <t>27/06/2022 A 01/07/2022</t>
  </si>
  <si>
    <t>04/07/2022 A 08/07/2022</t>
  </si>
  <si>
    <t>11/07/2022 A 15/07/2022</t>
  </si>
  <si>
    <t>18/07/2022 A 22/07/2022</t>
  </si>
  <si>
    <t>25/07/2022 A 29/07/2022</t>
  </si>
  <si>
    <t>01/08/2022 A 05/08/2022</t>
  </si>
  <si>
    <t>08/08/2022 A 12/08/2022</t>
  </si>
  <si>
    <t>15/08/2022 A 19/08/2022</t>
  </si>
  <si>
    <t>22/08/2022 A 26/08/2022</t>
  </si>
  <si>
    <t>29/08/2022 A 02/09/2022</t>
  </si>
  <si>
    <t>05/09/2022 A 09/09/2022</t>
  </si>
  <si>
    <t>12/09/2022 A 16/09/2022</t>
  </si>
  <si>
    <t>19/09/2022 A 23/09/2022</t>
  </si>
  <si>
    <t>26/09/2022 A 30/09/2022</t>
  </si>
  <si>
    <t>03/10/2022 A 07/10/2022</t>
  </si>
  <si>
    <t>10/10/2022 A 14/10/2022</t>
  </si>
  <si>
    <t>17/10/2022 A 21/10/2022</t>
  </si>
  <si>
    <t>24/10/2022 A 28/10/2022</t>
  </si>
  <si>
    <t>31/10/2022 A 04/11/2022</t>
  </si>
  <si>
    <t>07/11/2022 A 11/11/2022</t>
  </si>
  <si>
    <t>14/11/2022 A 18/11/2022</t>
  </si>
  <si>
    <t>21/11/2022 A 25/11/2022</t>
  </si>
  <si>
    <t>28/11/2022 A 02/12/2022</t>
  </si>
  <si>
    <t>05/12/2022 A 09/12/2022</t>
  </si>
  <si>
    <t>12/12/2022 A 16/12/2022</t>
  </si>
  <si>
    <t>19/12/2022 A 23/12/2022</t>
  </si>
  <si>
    <t>26/12/2022 A 30/12/2022</t>
  </si>
  <si>
    <t>02/01/2023 A 06/01/2023</t>
  </si>
  <si>
    <t>09/01/2023 A 13/01/2023</t>
  </si>
  <si>
    <t>16/01/2023 A 20/01/2023</t>
  </si>
  <si>
    <t>23/01/2023 A 27/01/2023</t>
  </si>
  <si>
    <t>30/01/2023 A 03/02/2023</t>
  </si>
  <si>
    <t>06/02/2023 A 10/02/2023</t>
  </si>
  <si>
    <t>13/02/2023 A 17/02/2023</t>
  </si>
  <si>
    <t>20/02/2023 A 24/02/2023</t>
  </si>
  <si>
    <t>27/02/2023 A 03/03/2023</t>
  </si>
  <si>
    <t>06/03/2023 A 10/03/2023</t>
  </si>
  <si>
    <t>13/03/2023 A 17/03/2023</t>
  </si>
  <si>
    <t>20/03/2023 A 24/03/2023</t>
  </si>
  <si>
    <t>27/03/2023 A 31/03/2023</t>
  </si>
  <si>
    <t>03/04/2023 A 07/04/2023</t>
  </si>
  <si>
    <t>10/04/2023 A 14/04/2023</t>
  </si>
  <si>
    <t>17/04/2023 A 21/04/2023</t>
  </si>
  <si>
    <t>24/04/2023 A 28/04/2023</t>
  </si>
  <si>
    <t>01/05/2023 A 05/05/2023</t>
  </si>
  <si>
    <t>08/05/2023 A 12/05/2023</t>
  </si>
  <si>
    <t>15/05/2023 A 19/05/2023</t>
  </si>
  <si>
    <t>22/05/2023 A 26/05/2023</t>
  </si>
  <si>
    <t>29/05/2023 A 02/06/2023</t>
  </si>
  <si>
    <t>05/06/2023 A 09/06/2023</t>
  </si>
  <si>
    <t>12/06/2023 A 16/06/2023</t>
  </si>
  <si>
    <t>19/06/2023 A 23/06/2023</t>
  </si>
  <si>
    <t>26/06/2023 A 30/06/2023</t>
  </si>
  <si>
    <t>03/07/2023 A 07/07/2023</t>
  </si>
  <si>
    <t>10/07/2023 A 14/07/2023</t>
  </si>
  <si>
    <t>17/07/2023 A 21/07/2023</t>
  </si>
  <si>
    <t>24/07/2023 A 28/07/2023</t>
  </si>
  <si>
    <t>31/07/2023 A 04/08/2023</t>
  </si>
  <si>
    <t>07/08/2023 A 11/08/2023</t>
  </si>
  <si>
    <t>14/08/2023 A 18/08/2023</t>
  </si>
  <si>
    <t>21/08/2023 A 25/08/2023</t>
  </si>
  <si>
    <t>28/08/2023 A 01/09/2023</t>
  </si>
  <si>
    <t>04/09/2023 A 08/09/2023</t>
  </si>
  <si>
    <t>11/09/2023 A 15/09/2023</t>
  </si>
  <si>
    <t>18/09/2023 A 22/09/2023</t>
  </si>
  <si>
    <t>25/09/2023 A 29/09/2023</t>
  </si>
  <si>
    <t>02/10/2023 A 06/10/2023</t>
  </si>
  <si>
    <t>09/10/2023 A 13/10/2023</t>
  </si>
  <si>
    <t>16/10/2023 A 20/10/2023</t>
  </si>
  <si>
    <t>23/10/2023 A 27/10/2023</t>
  </si>
  <si>
    <t>30/10/2023 A 03/11/2023</t>
  </si>
  <si>
    <t>06/11/2023 A 10/11/2023</t>
  </si>
  <si>
    <t>13/11/2023 A 17/11/2023</t>
  </si>
  <si>
    <t>20/11/2023 A 24/11/2023</t>
  </si>
  <si>
    <t>27/11/2023 A 01/12/2023</t>
  </si>
  <si>
    <t>04/12/2023 A 08/12/2023</t>
  </si>
  <si>
    <t>11/12/2023 A 15/12/2023</t>
  </si>
  <si>
    <t>18/12/2023 A 22/12/2023</t>
  </si>
  <si>
    <t>25/12/2023 A 29/12/2023</t>
  </si>
  <si>
    <t>01/01/2024 A 05/01/2024</t>
  </si>
  <si>
    <t>08/01/2024 A 12/01/2024</t>
  </si>
  <si>
    <t>15/01/2024 A 19/01/2024</t>
  </si>
  <si>
    <t>22/01/2024 A 26/01/2024</t>
  </si>
  <si>
    <t>29/01/2024 A 02/02/2024</t>
  </si>
  <si>
    <t>05/02/2024 A 09/02/2024</t>
  </si>
  <si>
    <t>12/02/2024 A 16/02/2024</t>
  </si>
  <si>
    <t>19/02/2024 A 23/02/2024</t>
  </si>
  <si>
    <t>26/02/2024 A 01/03/2024</t>
  </si>
  <si>
    <t>04/03/2024 A 08/03/2024</t>
  </si>
  <si>
    <t>11/03/2024 A 15/03/2024</t>
  </si>
  <si>
    <t>18/03/2024 A 22/03/2024</t>
  </si>
  <si>
    <t>25/03/2024 A 29/03/2024</t>
  </si>
  <si>
    <t>01/04/2024 A 05/04/2024</t>
  </si>
  <si>
    <t>08/04/2024 A 12/04/2024</t>
  </si>
  <si>
    <t>15/04/2024 A 19/04/2024</t>
  </si>
  <si>
    <t>22/04/2024 A 26/04/2024</t>
  </si>
  <si>
    <t>29/04/2024 A 03/05/2024</t>
  </si>
  <si>
    <t>06/05/2024 A 10/05/2024</t>
  </si>
  <si>
    <t>13/05/2024 A 17/05/2024</t>
  </si>
  <si>
    <t>20/05/2024 A 24/05/2024</t>
  </si>
  <si>
    <t>27/05/2024 A 31/05/2024</t>
  </si>
  <si>
    <t>03/06/2024 A 07/06/2024</t>
  </si>
  <si>
    <t>10/06/2024 A 14/06/2024</t>
  </si>
  <si>
    <t>17/06/2024 A 21/06/2024</t>
  </si>
  <si>
    <t>24/06/2024 A 28/06/2024</t>
  </si>
  <si>
    <t>01/07/2024 A 05/07/2024</t>
  </si>
  <si>
    <t>08/07/2024 A 12/07/2024</t>
  </si>
  <si>
    <t>15/07/2024 A 19/07/2024</t>
  </si>
  <si>
    <t>22/07/2024 A 26/07/2024</t>
  </si>
  <si>
    <t>29/07/2024 A 02/08/2024</t>
  </si>
  <si>
    <t>05/08/2024 A 09/08/2024</t>
  </si>
  <si>
    <t>12/08/2024 A 16/08/2024</t>
  </si>
  <si>
    <t>19/08/2024 A 23/08/2024</t>
  </si>
  <si>
    <t>26/08/2024 A 30/08/2024</t>
  </si>
  <si>
    <t>02/09/2024 A 06/09/2024</t>
  </si>
  <si>
    <t>09/09/2024 A 13/09/2024</t>
  </si>
  <si>
    <t>16/09/2024 A 20/09/2024</t>
  </si>
  <si>
    <t>23/09/2024 A 27/09/2024</t>
  </si>
  <si>
    <t>30/09/2024 A 04/10/2024</t>
  </si>
  <si>
    <t>07/10/2024 A 11/10/2024</t>
  </si>
  <si>
    <t>14/10/2024 A 18/10/2024</t>
  </si>
  <si>
    <t>21/10/2024 A 25/10/2024</t>
  </si>
  <si>
    <t>28/10/2024 A 01/11/2024</t>
  </si>
  <si>
    <t>04/11/2024 A 08/11/2024</t>
  </si>
  <si>
    <t>11/11/2024 A 15/11/2024</t>
  </si>
  <si>
    <t>18/11/2024 A 22/11/2024</t>
  </si>
  <si>
    <t>25/11/2024 A 29/11/2024</t>
  </si>
  <si>
    <t>02/12/2024 A 06/12/2024</t>
  </si>
  <si>
    <t>09/12/2024 A 13/12/2024</t>
  </si>
  <si>
    <t>16/12/2024 A 20/12/2024</t>
  </si>
  <si>
    <t>23/12/2024 A 27/12/2024</t>
  </si>
  <si>
    <t>30/12/2024 A 03/01/2025</t>
  </si>
  <si>
    <t>06/01/2025 A 10/01/2025</t>
  </si>
  <si>
    <t>13/01/2025 A 17/01/2025</t>
  </si>
  <si>
    <t>20/01/2025 A 24/01/2025</t>
  </si>
  <si>
    <t>MÉDIA</t>
  </si>
  <si>
    <t>BAU-Base</t>
  </si>
  <si>
    <t>BAU-Moderada</t>
  </si>
  <si>
    <t>BAU-Acelerada</t>
  </si>
  <si>
    <t>Retração-Base</t>
  </si>
  <si>
    <t>Retração-Moderada</t>
  </si>
  <si>
    <t>Retração-Acelerada</t>
  </si>
  <si>
    <t>Conexões-Base</t>
  </si>
  <si>
    <t>Conexões-Moderada</t>
  </si>
  <si>
    <t>Conexões-Acelerada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</si>
</sst>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"/>
    <numFmt numFmtId="165" formatCode="_(* #,##0.00_);_(* \(#,##0.00\);_(* &quot;-&quot;??_);_(@_)"/>
    <numFmt numFmtId="166" formatCode="_(* #,##0.0_);_(* \(#,##0.0\);_(* &quot;-&quot;??_);_(@_)"/>
    <numFmt numFmtId="167" formatCode="0.0%"/>
    <numFmt numFmtId="168" formatCode="_(* #,##0_);_(* \(#,##0\);_(* &quot;-&quot;??_);_(@_)"/>
    <numFmt numFmtId="169" formatCode="_-* #,##0.00_-;\-* #,##0.00_-;_-* &quot;-&quot;?_-;_-@_-"/>
    <numFmt numFmtId="170" formatCode="_(* #,##0.000_);_(* \(#,##0.000\);_(* &quot;-&quot;??_);_(@_)"/>
    <numFmt numFmtId="171" formatCode="0.000%"/>
    <numFmt numFmtId="172" formatCode="_(* #,##0.0000_);_(* \(#,##0.0000\);_(* &quot;-&quot;??_);_(@_)"/>
    <numFmt numFmtId="173" formatCode="####0.00000"/>
    <numFmt numFmtId="174" formatCode="#0.00000"/>
    <numFmt numFmtId="175" formatCode="_-* #,##0.0000_-;\-* #,##0.0000_-;_-* &quot;-&quot;??_-;_-@_-"/>
    <numFmt numFmtId="176" formatCode="_-* #,##0.0000_-;\-* #,##0.0000_-;_-* &quot;-&quot;????_-;_-@_-"/>
    <numFmt numFmtId="177" formatCode="#,##0.0000"/>
    <numFmt numFmtId="178" formatCode="0.0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/>
      <name val="Calibri"/>
      <family val="2"/>
      <scheme val="minor"/>
    </font>
    <font>
      <sz val="12"/>
      <color theme="6"/>
      <name val="Calibri"/>
      <family val="2"/>
      <scheme val="minor"/>
    </font>
    <font>
      <b/>
      <sz val="10"/>
      <name val="Arial"/>
      <family val="2"/>
    </font>
    <font>
      <sz val="11"/>
      <color theme="5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6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</font>
    <font>
      <sz val="10"/>
      <name val="Courier"/>
      <family val="3"/>
    </font>
    <font>
      <b/>
      <sz val="8"/>
      <name val="Arial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sz val="1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DFF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4">
    <xf numFmtId="0" fontId="0" fillId="0" borderId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9" fillId="12" borderId="0" applyNumberFormat="0" applyBorder="0" applyAlignment="0" applyProtection="0"/>
    <xf numFmtId="0" fontId="21" fillId="13" borderId="0" applyNumberFormat="0" applyBorder="0" applyAlignment="0" applyProtection="0"/>
    <xf numFmtId="43" fontId="1" fillId="0" borderId="0" applyFont="0" applyFill="0" applyBorder="0" applyAlignment="0" applyProtection="0"/>
    <xf numFmtId="0" fontId="23" fillId="0" borderId="0">
      <alignment vertical="center"/>
    </xf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4" fillId="14" borderId="0" applyNumberFormat="0" applyAlignment="0">
      <alignment horizontal="left"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1" fillId="0" borderId="0"/>
    <xf numFmtId="9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0" fillId="23" borderId="0" applyNumberFormat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65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6" fontId="0" fillId="0" borderId="0" xfId="0" applyNumberFormat="1"/>
    <xf numFmtId="165" fontId="0" fillId="0" borderId="0" xfId="0" applyNumberFormat="1" applyAlignment="1">
      <alignment horizontal="center" vertical="center"/>
    </xf>
    <xf numFmtId="2" fontId="10" fillId="0" borderId="0" xfId="0" applyNumberFormat="1" applyFont="1"/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3" fillId="6" borderId="1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3" fontId="0" fillId="0" borderId="1" xfId="0" applyNumberFormat="1" applyBorder="1"/>
    <xf numFmtId="0" fontId="0" fillId="0" borderId="1" xfId="0" applyBorder="1" applyAlignment="1">
      <alignment horizontal="center" vertical="center"/>
    </xf>
    <xf numFmtId="168" fontId="0" fillId="0" borderId="0" xfId="0" applyNumberFormat="1"/>
    <xf numFmtId="168" fontId="0" fillId="0" borderId="1" xfId="0" applyNumberFormat="1" applyBorder="1" applyAlignment="1">
      <alignment horizontal="center"/>
    </xf>
    <xf numFmtId="167" fontId="0" fillId="0" borderId="0" xfId="2" applyNumberFormat="1" applyFont="1"/>
    <xf numFmtId="171" fontId="0" fillId="0" borderId="1" xfId="2" applyNumberFormat="1" applyFont="1" applyBorder="1" applyAlignment="1">
      <alignment vertical="center" wrapText="1"/>
    </xf>
    <xf numFmtId="171" fontId="3" fillId="0" borderId="1" xfId="2" applyNumberFormat="1" applyFont="1" applyBorder="1" applyAlignment="1">
      <alignment horizontal="center" vertical="center" wrapText="1"/>
    </xf>
    <xf numFmtId="171" fontId="0" fillId="0" borderId="1" xfId="2" applyNumberFormat="1" applyFont="1" applyBorder="1"/>
    <xf numFmtId="171" fontId="0" fillId="0" borderId="0" xfId="2" applyNumberFormat="1" applyFont="1"/>
    <xf numFmtId="171" fontId="0" fillId="0" borderId="0" xfId="2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171" fontId="0" fillId="0" borderId="0" xfId="2" applyNumberFormat="1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6" xfId="0" applyNumberFormat="1" applyBorder="1"/>
    <xf numFmtId="0" fontId="0" fillId="0" borderId="6" xfId="0" applyBorder="1"/>
    <xf numFmtId="166" fontId="0" fillId="0" borderId="0" xfId="0" applyNumberFormat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0" fillId="0" borderId="10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5" fontId="0" fillId="8" borderId="4" xfId="0" applyNumberFormat="1" applyFill="1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  <xf numFmtId="0" fontId="14" fillId="0" borderId="0" xfId="4"/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65" fontId="0" fillId="8" borderId="0" xfId="0" applyNumberForma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70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165" fontId="0" fillId="8" borderId="11" xfId="0" applyNumberFormat="1" applyFill="1" applyBorder="1" applyAlignment="1">
      <alignment horizontal="center" vertical="center" wrapText="1"/>
    </xf>
    <xf numFmtId="0" fontId="0" fillId="7" borderId="11" xfId="0" applyFill="1" applyBorder="1"/>
    <xf numFmtId="165" fontId="0" fillId="7" borderId="11" xfId="0" applyNumberFormat="1" applyFill="1" applyBorder="1"/>
    <xf numFmtId="0" fontId="0" fillId="8" borderId="11" xfId="0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10" borderId="0" xfId="0" applyFont="1" applyFill="1"/>
    <xf numFmtId="0" fontId="5" fillId="10" borderId="4" xfId="0" applyFont="1" applyFill="1" applyBorder="1"/>
    <xf numFmtId="0" fontId="5" fillId="2" borderId="0" xfId="0" applyFont="1" applyFill="1"/>
    <xf numFmtId="170" fontId="0" fillId="0" borderId="6" xfId="0" applyNumberFormat="1" applyBorder="1" applyAlignment="1">
      <alignment horizontal="center" vertical="center"/>
    </xf>
    <xf numFmtId="170" fontId="0" fillId="0" borderId="7" xfId="0" applyNumberFormat="1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 wrapText="1"/>
    </xf>
    <xf numFmtId="170" fontId="10" fillId="0" borderId="0" xfId="0" applyNumberFormat="1" applyFont="1" applyAlignment="1">
      <alignment horizontal="center" vertical="center" wrapText="1"/>
    </xf>
    <xf numFmtId="0" fontId="5" fillId="0" borderId="0" xfId="4" applyFont="1"/>
    <xf numFmtId="164" fontId="14" fillId="0" borderId="0" xfId="4" applyNumberFormat="1"/>
    <xf numFmtId="11" fontId="14" fillId="0" borderId="0" xfId="4" applyNumberFormat="1"/>
    <xf numFmtId="0" fontId="14" fillId="9" borderId="0" xfId="4" applyFill="1"/>
    <xf numFmtId="0" fontId="14" fillId="9" borderId="0" xfId="4" applyFill="1" applyAlignment="1">
      <alignment horizontal="center" vertical="center"/>
    </xf>
    <xf numFmtId="11" fontId="14" fillId="0" borderId="0" xfId="4" applyNumberFormat="1" applyAlignment="1">
      <alignment horizontal="center" vertical="center"/>
    </xf>
    <xf numFmtId="43" fontId="0" fillId="0" borderId="1" xfId="0" applyNumberFormat="1" applyBorder="1"/>
    <xf numFmtId="0" fontId="0" fillId="0" borderId="0" xfId="2" applyNumberFormat="1" applyFont="1"/>
    <xf numFmtId="0" fontId="14" fillId="0" borderId="0" xfId="4" applyAlignment="1">
      <alignment horizontal="center" vertical="center" wrapText="1"/>
    </xf>
    <xf numFmtId="0" fontId="14" fillId="0" borderId="0" xfId="4" applyAlignment="1">
      <alignment horizontal="center" vertical="center"/>
    </xf>
    <xf numFmtId="0" fontId="0" fillId="0" borderId="4" xfId="0" applyBorder="1"/>
    <xf numFmtId="0" fontId="14" fillId="9" borderId="4" xfId="4" applyFill="1" applyBorder="1" applyAlignment="1">
      <alignment horizontal="center" vertical="center"/>
    </xf>
    <xf numFmtId="0" fontId="14" fillId="0" borderId="4" xfId="4" applyBorder="1" applyAlignment="1">
      <alignment horizontal="center" vertical="center" wrapText="1"/>
    </xf>
    <xf numFmtId="0" fontId="14" fillId="9" borderId="4" xfId="4" applyFill="1" applyBorder="1"/>
    <xf numFmtId="0" fontId="5" fillId="2" borderId="4" xfId="0" applyFont="1" applyFill="1" applyBorder="1"/>
    <xf numFmtId="11" fontId="14" fillId="0" borderId="4" xfId="4" applyNumberFormat="1" applyBorder="1"/>
    <xf numFmtId="164" fontId="14" fillId="0" borderId="4" xfId="4" applyNumberFormat="1" applyBorder="1"/>
    <xf numFmtId="0" fontId="14" fillId="0" borderId="6" xfId="4" applyBorder="1" applyAlignment="1">
      <alignment horizontal="center" vertical="center" wrapText="1"/>
    </xf>
    <xf numFmtId="0" fontId="0" fillId="0" borderId="7" xfId="0" applyBorder="1"/>
    <xf numFmtId="172" fontId="0" fillId="4" borderId="0" xfId="0" applyNumberFormat="1" applyFill="1" applyAlignment="1">
      <alignment horizontal="center" vertical="center" wrapText="1"/>
    </xf>
    <xf numFmtId="172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9" fontId="0" fillId="0" borderId="0" xfId="2" applyFont="1"/>
    <xf numFmtId="0" fontId="3" fillId="0" borderId="0" xfId="0" applyFont="1"/>
    <xf numFmtId="9" fontId="0" fillId="0" borderId="0" xfId="0" applyNumberFormat="1"/>
    <xf numFmtId="167" fontId="0" fillId="0" borderId="0" xfId="0" applyNumberFormat="1"/>
    <xf numFmtId="0" fontId="0" fillId="15" borderId="0" xfId="0" applyFill="1"/>
    <xf numFmtId="0" fontId="0" fillId="16" borderId="0" xfId="0" applyFill="1"/>
    <xf numFmtId="9" fontId="0" fillId="16" borderId="0" xfId="2" applyFont="1" applyFill="1"/>
    <xf numFmtId="0" fontId="0" fillId="2" borderId="0" xfId="0" applyFill="1"/>
    <xf numFmtId="0" fontId="0" fillId="17" borderId="0" xfId="0" applyFill="1"/>
    <xf numFmtId="0" fontId="0" fillId="18" borderId="0" xfId="0" applyFill="1"/>
    <xf numFmtId="11" fontId="14" fillId="3" borderId="0" xfId="4" applyNumberFormat="1" applyFill="1"/>
    <xf numFmtId="11" fontId="14" fillId="3" borderId="4" xfId="4" applyNumberFormat="1" applyFill="1" applyBorder="1"/>
    <xf numFmtId="11" fontId="0" fillId="0" borderId="0" xfId="0" applyNumberFormat="1"/>
    <xf numFmtId="0" fontId="0" fillId="8" borderId="0" xfId="0" applyFill="1" applyAlignment="1">
      <alignment wrapText="1"/>
    </xf>
    <xf numFmtId="0" fontId="26" fillId="8" borderId="0" xfId="0" applyFont="1" applyFill="1"/>
    <xf numFmtId="11" fontId="0" fillId="8" borderId="0" xfId="0" applyNumberFormat="1" applyFill="1"/>
    <xf numFmtId="10" fontId="0" fillId="8" borderId="0" xfId="2" applyNumberFormat="1" applyFont="1" applyFill="1"/>
    <xf numFmtId="0" fontId="27" fillId="10" borderId="0" xfId="0" applyFont="1" applyFill="1"/>
    <xf numFmtId="0" fontId="25" fillId="0" borderId="0" xfId="0" applyFont="1"/>
    <xf numFmtId="170" fontId="25" fillId="0" borderId="0" xfId="0" applyNumberFormat="1" applyFont="1" applyAlignment="1">
      <alignment horizontal="center" vertical="center"/>
    </xf>
    <xf numFmtId="0" fontId="7" fillId="9" borderId="0" xfId="4" applyFont="1" applyFill="1" applyAlignment="1">
      <alignment horizontal="center" vertical="center"/>
    </xf>
    <xf numFmtId="0" fontId="7" fillId="0" borderId="0" xfId="4" applyFont="1" applyAlignment="1">
      <alignment horizontal="center" vertical="center" wrapText="1"/>
    </xf>
    <xf numFmtId="0" fontId="7" fillId="9" borderId="0" xfId="4" applyFont="1" applyFill="1"/>
    <xf numFmtId="0" fontId="25" fillId="0" borderId="6" xfId="0" applyFont="1" applyBorder="1"/>
    <xf numFmtId="9" fontId="25" fillId="8" borderId="0" xfId="0" applyNumberFormat="1" applyFont="1" applyFill="1"/>
    <xf numFmtId="0" fontId="25" fillId="8" borderId="0" xfId="0" applyFont="1" applyFill="1"/>
    <xf numFmtId="0" fontId="0" fillId="19" borderId="0" xfId="0" applyFill="1"/>
    <xf numFmtId="0" fontId="0" fillId="20" borderId="0" xfId="0" applyFill="1" applyAlignment="1">
      <alignment wrapText="1"/>
    </xf>
    <xf numFmtId="167" fontId="0" fillId="2" borderId="0" xfId="0" applyNumberFormat="1" applyFill="1"/>
    <xf numFmtId="10" fontId="0" fillId="0" borderId="0" xfId="0" applyNumberFormat="1"/>
    <xf numFmtId="10" fontId="0" fillId="2" borderId="0" xfId="2" applyNumberFormat="1" applyFont="1" applyFill="1"/>
    <xf numFmtId="0" fontId="0" fillId="17" borderId="0" xfId="0" applyFill="1" applyAlignment="1">
      <alignment wrapText="1"/>
    </xf>
    <xf numFmtId="0" fontId="0" fillId="2" borderId="0" xfId="0" applyFill="1" applyAlignment="1">
      <alignment wrapText="1"/>
    </xf>
    <xf numFmtId="10" fontId="25" fillId="0" borderId="0" xfId="0" applyNumberFormat="1" applyFont="1"/>
    <xf numFmtId="0" fontId="25" fillId="17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25" fillId="8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10" fontId="0" fillId="21" borderId="0" xfId="2" applyNumberFormat="1" applyFont="1" applyFill="1"/>
    <xf numFmtId="10" fontId="0" fillId="17" borderId="0" xfId="2" applyNumberFormat="1" applyFont="1" applyFill="1"/>
    <xf numFmtId="167" fontId="0" fillId="22" borderId="0" xfId="2" applyNumberFormat="1" applyFont="1" applyFill="1"/>
    <xf numFmtId="14" fontId="34" fillId="0" borderId="1" xfId="0" applyNumberFormat="1" applyFont="1" applyBorder="1" applyAlignment="1">
      <alignment horizontal="center" vertical="center"/>
    </xf>
    <xf numFmtId="173" fontId="34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/>
    </xf>
    <xf numFmtId="14" fontId="34" fillId="0" borderId="1" xfId="0" applyNumberFormat="1" applyFont="1" applyBorder="1" applyAlignment="1">
      <alignment horizontal="center"/>
    </xf>
    <xf numFmtId="173" fontId="34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4" fontId="34" fillId="0" borderId="1" xfId="0" applyNumberFormat="1" applyFont="1" applyBorder="1" applyAlignment="1">
      <alignment horizontal="center"/>
    </xf>
    <xf numFmtId="0" fontId="34" fillId="0" borderId="0" xfId="0" applyFont="1" applyAlignment="1">
      <alignment wrapText="1"/>
    </xf>
    <xf numFmtId="49" fontId="11" fillId="8" borderId="12" xfId="15" applyNumberFormat="1" applyFont="1" applyFill="1" applyBorder="1" applyAlignment="1">
      <alignment horizontal="centerContinuous" vertical="center"/>
    </xf>
    <xf numFmtId="49" fontId="11" fillId="8" borderId="13" xfId="15" applyNumberFormat="1" applyFont="1" applyFill="1" applyBorder="1" applyAlignment="1">
      <alignment horizontal="centerContinuous" vertical="center"/>
    </xf>
    <xf numFmtId="49" fontId="11" fillId="8" borderId="14" xfId="15" applyNumberFormat="1" applyFont="1" applyFill="1" applyBorder="1" applyAlignment="1">
      <alignment horizontal="centerContinuous" vertical="center"/>
    </xf>
    <xf numFmtId="49" fontId="11" fillId="8" borderId="10" xfId="15" applyNumberFormat="1" applyFont="1" applyFill="1" applyBorder="1" applyAlignment="1">
      <alignment horizontal="centerContinuous" vertical="center"/>
    </xf>
    <xf numFmtId="49" fontId="11" fillId="8" borderId="15" xfId="15" applyNumberFormat="1" applyFont="1" applyFill="1" applyBorder="1" applyAlignment="1">
      <alignment horizontal="centerContinuous" vertical="center"/>
    </xf>
    <xf numFmtId="49" fontId="11" fillId="8" borderId="7" xfId="15" applyNumberFormat="1" applyFont="1" applyFill="1" applyBorder="1" applyAlignment="1">
      <alignment horizontal="centerContinuous" vertical="center"/>
    </xf>
    <xf numFmtId="0" fontId="11" fillId="8" borderId="8" xfId="15" applyFont="1" applyFill="1" applyBorder="1" applyAlignment="1">
      <alignment horizontal="centerContinuous"/>
    </xf>
    <xf numFmtId="0" fontId="11" fillId="8" borderId="11" xfId="15" applyFont="1" applyFill="1" applyBorder="1" applyAlignment="1">
      <alignment horizontal="centerContinuous"/>
    </xf>
    <xf numFmtId="0" fontId="11" fillId="8" borderId="9" xfId="15" applyFont="1" applyFill="1" applyBorder="1" applyAlignment="1">
      <alignment horizontal="centerContinuous"/>
    </xf>
    <xf numFmtId="49" fontId="11" fillId="8" borderId="1" xfId="15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 applyAlignment="1">
      <alignment horizontal="left" indent="1"/>
    </xf>
    <xf numFmtId="0" fontId="36" fillId="0" borderId="0" xfId="0" applyFont="1" applyAlignment="1">
      <alignment horizontal="right" vertical="top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173" fontId="34" fillId="0" borderId="0" xfId="0" applyNumberFormat="1" applyFont="1"/>
    <xf numFmtId="0" fontId="38" fillId="0" borderId="18" xfId="0" applyFont="1" applyBorder="1" applyAlignment="1">
      <alignment horizontal="center" vertical="center" wrapText="1"/>
    </xf>
    <xf numFmtId="0" fontId="38" fillId="0" borderId="19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175" fontId="0" fillId="0" borderId="0" xfId="22" applyNumberFormat="1" applyFont="1" applyFill="1" applyBorder="1" applyAlignment="1">
      <alignment horizontal="center" vertical="center"/>
    </xf>
    <xf numFmtId="175" fontId="0" fillId="0" borderId="0" xfId="22" applyNumberFormat="1" applyFont="1" applyBorder="1" applyAlignment="1">
      <alignment horizontal="center" vertical="center"/>
    </xf>
    <xf numFmtId="175" fontId="0" fillId="0" borderId="0" xfId="22" applyNumberFormat="1" applyFont="1" applyAlignment="1">
      <alignment horizontal="center"/>
    </xf>
    <xf numFmtId="175" fontId="0" fillId="0" borderId="0" xfId="22" applyNumberFormat="1" applyFont="1" applyAlignment="1">
      <alignment horizontal="center" vertical="center"/>
    </xf>
    <xf numFmtId="0" fontId="0" fillId="15" borderId="0" xfId="0" applyFill="1" applyAlignment="1">
      <alignment horizontal="center" vertical="center"/>
    </xf>
    <xf numFmtId="175" fontId="0" fillId="0" borderId="0" xfId="22" applyNumberFormat="1" applyFont="1"/>
    <xf numFmtId="14" fontId="0" fillId="0" borderId="0" xfId="0" applyNumberFormat="1" applyAlignment="1">
      <alignment horizontal="center"/>
    </xf>
    <xf numFmtId="14" fontId="0" fillId="0" borderId="0" xfId="0" applyNumberFormat="1"/>
    <xf numFmtId="176" fontId="0" fillId="0" borderId="0" xfId="0" applyNumberFormat="1"/>
    <xf numFmtId="177" fontId="41" fillId="0" borderId="0" xfId="0" applyNumberFormat="1" applyFont="1"/>
    <xf numFmtId="178" fontId="0" fillId="0" borderId="0" xfId="0" applyNumberFormat="1"/>
    <xf numFmtId="175" fontId="40" fillId="23" borderId="0" xfId="23" applyNumberFormat="1"/>
    <xf numFmtId="0" fontId="1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2" fillId="0" borderId="0" xfId="1" applyAlignment="1" applyProtection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21" fillId="13" borderId="0" xfId="9" applyAlignment="1">
      <alignment horizontal="center" vertical="center"/>
    </xf>
    <xf numFmtId="0" fontId="20" fillId="12" borderId="0" xfId="8" applyFont="1" applyAlignment="1">
      <alignment horizontal="center"/>
    </xf>
    <xf numFmtId="0" fontId="16" fillId="11" borderId="0" xfId="4" applyFont="1" applyFill="1" applyAlignment="1">
      <alignment horizontal="center" vertical="center"/>
    </xf>
    <xf numFmtId="0" fontId="18" fillId="2" borderId="0" xfId="4" applyFont="1" applyFill="1" applyAlignment="1">
      <alignment horizontal="center" vertical="center"/>
    </xf>
    <xf numFmtId="0" fontId="17" fillId="6" borderId="0" xfId="4" applyFont="1" applyFill="1" applyAlignment="1">
      <alignment horizontal="center" vertical="center"/>
    </xf>
    <xf numFmtId="0" fontId="30" fillId="8" borderId="8" xfId="16" applyFont="1" applyFill="1" applyBorder="1" applyAlignment="1">
      <alignment horizontal="center"/>
    </xf>
    <xf numFmtId="0" fontId="30" fillId="8" borderId="11" xfId="16" applyFont="1" applyFill="1" applyBorder="1" applyAlignment="1">
      <alignment horizontal="center"/>
    </xf>
    <xf numFmtId="0" fontId="30" fillId="8" borderId="9" xfId="16" applyFont="1" applyFill="1" applyBorder="1" applyAlignment="1">
      <alignment horizontal="center"/>
    </xf>
    <xf numFmtId="49" fontId="11" fillId="8" borderId="12" xfId="15" applyNumberFormat="1" applyFont="1" applyFill="1" applyBorder="1" applyAlignment="1">
      <alignment horizontal="center" vertical="center"/>
    </xf>
    <xf numFmtId="49" fontId="11" fillId="8" borderId="13" xfId="15" applyNumberFormat="1" applyFont="1" applyFill="1" applyBorder="1" applyAlignment="1">
      <alignment horizontal="center" vertical="center"/>
    </xf>
    <xf numFmtId="0" fontId="0" fillId="15" borderId="16" xfId="0" applyFill="1" applyBorder="1" applyAlignment="1">
      <alignment horizontal="center"/>
    </xf>
    <xf numFmtId="0" fontId="38" fillId="0" borderId="17" xfId="0" applyFont="1" applyBorder="1" applyAlignment="1">
      <alignment horizontal="center" vertical="center" wrapText="1"/>
    </xf>
    <xf numFmtId="0" fontId="38" fillId="0" borderId="18" xfId="0" applyFont="1" applyBorder="1" applyAlignment="1">
      <alignment horizontal="center" vertical="center" wrapText="1"/>
    </xf>
  </cellXfs>
  <cellStyles count="24">
    <cellStyle name="Accent6" xfId="23" builtinId="49"/>
    <cellStyle name="Comma" xfId="22" builtinId="3"/>
    <cellStyle name="Comma 2" xfId="5" xr:uid="{AE39C288-DA63-42AD-A145-6BAE170314DA}"/>
    <cellStyle name="Good" xfId="9" builtinId="26"/>
    <cellStyle name="Hyperlink" xfId="1" builtinId="8"/>
    <cellStyle name="Hyperlink 2" xfId="7" xr:uid="{7169CFC7-05FD-42DB-AE3A-B1E767A0876A}"/>
    <cellStyle name="Neutral" xfId="8" builtinId="28"/>
    <cellStyle name="Normal" xfId="0" builtinId="0"/>
    <cellStyle name="Normal 2" xfId="3" xr:uid="{DEF2B050-6F11-40D9-91DE-240D46FF9F7E}"/>
    <cellStyle name="Normal 2 2" xfId="15" xr:uid="{9A296DF2-E5ED-4213-BC60-12A71726220E}"/>
    <cellStyle name="Normal 3" xfId="4" xr:uid="{11BD0657-3630-4B30-899E-2D61D408ECB4}"/>
    <cellStyle name="Normal 3 2" xfId="16" xr:uid="{86CF2784-F475-435B-AE32-2E73C598C567}"/>
    <cellStyle name="Normal 4" xfId="17" xr:uid="{A5D78EE9-77EE-4D24-B6F0-9FA0DFF1CCF3}"/>
    <cellStyle name="Normal 4 2" xfId="18" xr:uid="{935C263C-65A2-4ED0-931D-1922C285FBE9}"/>
    <cellStyle name="Normal 5" xfId="19" xr:uid="{B450838A-37BB-474A-8666-0CA785195996}"/>
    <cellStyle name="Normal 50" xfId="11" xr:uid="{F89C10EA-42B5-4632-B965-631FA7AD532D}"/>
    <cellStyle name="Percent" xfId="2" builtinId="5"/>
    <cellStyle name="Percent 2" xfId="6" xr:uid="{4575A0B1-6802-4063-9DFB-999FC33C3586}"/>
    <cellStyle name="phx-HL-cell" xfId="14" xr:uid="{A3E8A1AF-3628-40A8-AF04-30EA0BBA2596}"/>
    <cellStyle name="Porcentagem 2" xfId="12" xr:uid="{2A537496-92F0-4826-A857-41B2DE859747}"/>
    <cellStyle name="Porcentagem 2 2" xfId="20" xr:uid="{9611123A-1033-4A69-A01C-309558EA9274}"/>
    <cellStyle name="Vírgula 2" xfId="13" xr:uid="{447C9CCD-FD2D-4BB2-A03B-3CA22FCF687B}"/>
    <cellStyle name="Vírgula 3" xfId="10" xr:uid="{189325E7-8E82-4D47-9118-3014428F1A88}"/>
    <cellStyle name="Vírgula 4" xfId="21" xr:uid="{655ECD17-EE99-454A-BD4B-829E719F7D74}"/>
  </cellStyles>
  <dxfs count="0"/>
  <tableStyles count="0" defaultTableStyle="TableStyleMedium2" defaultPivotStyle="PivotStyleLight16"/>
  <colors>
    <mruColors>
      <color rgb="FFF5DFF3"/>
      <color rgb="FFFF0000"/>
      <color rgb="FFC77B00"/>
      <color rgb="FF940051"/>
      <color rgb="FFFFD5D5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Demanda da aviação brasileira</a:t>
            </a:r>
          </a:p>
        </c:rich>
      </c:tx>
      <c:layout>
        <c:manualLayout>
          <c:xMode val="edge"/>
          <c:yMode val="edge"/>
          <c:x val="0.10194176890679364"/>
          <c:y val="0.12098298676748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653665384850143E-2"/>
          <c:y val="9.3736609955891614E-2"/>
          <c:w val="0.853979490935726"/>
          <c:h val="0.78182655334434803"/>
        </c:manualLayout>
      </c:layout>
      <c:areaChart>
        <c:grouping val="stacked"/>
        <c:varyColors val="0"/>
        <c:ser>
          <c:idx val="1"/>
          <c:order val="0"/>
          <c:tx>
            <c:strRef>
              <c:f>Fig_historico_Kaya!$E$2</c:f>
              <c:strCache>
                <c:ptCount val="1"/>
                <c:pt idx="0">
                  <c:v>Histórico da demanda de carga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Fig_historico_Kaya!$E$14:$E$37</c:f>
              <c:numCache>
                <c:formatCode>General</c:formatCode>
                <c:ptCount val="24"/>
                <c:pt idx="0">
                  <c:v>1954.6397572020001</c:v>
                </c:pt>
                <c:pt idx="1">
                  <c:v>1909.8107487010002</c:v>
                </c:pt>
                <c:pt idx="2">
                  <c:v>2089.6552224759998</c:v>
                </c:pt>
                <c:pt idx="3">
                  <c:v>1995.6600105060002</c:v>
                </c:pt>
                <c:pt idx="4">
                  <c:v>2332.9972381140001</c:v>
                </c:pt>
                <c:pt idx="5">
                  <c:v>2248.3734151509998</c:v>
                </c:pt>
                <c:pt idx="6">
                  <c:v>2006.9671482210001</c:v>
                </c:pt>
                <c:pt idx="7">
                  <c:v>1995.1700248130001</c:v>
                </c:pt>
                <c:pt idx="8">
                  <c:v>1885.166983998</c:v>
                </c:pt>
                <c:pt idx="9">
                  <c:v>1665.548948659</c:v>
                </c:pt>
                <c:pt idx="10">
                  <c:v>2322.8588367319999</c:v>
                </c:pt>
                <c:pt idx="11">
                  <c:v>2724.3433670599998</c:v>
                </c:pt>
                <c:pt idx="12">
                  <c:v>2555.843214343</c:v>
                </c:pt>
                <c:pt idx="13">
                  <c:v>2671.876238754</c:v>
                </c:pt>
                <c:pt idx="14">
                  <c:v>2791.9761928520002</c:v>
                </c:pt>
                <c:pt idx="15">
                  <c:v>2728.9560408150001</c:v>
                </c:pt>
                <c:pt idx="16">
                  <c:v>2677.9105025569997</c:v>
                </c:pt>
                <c:pt idx="17">
                  <c:v>2794.038987288</c:v>
                </c:pt>
                <c:pt idx="18">
                  <c:v>3357.9307811150002</c:v>
                </c:pt>
                <c:pt idx="19">
                  <c:v>3008.1193706980002</c:v>
                </c:pt>
                <c:pt idx="20">
                  <c:v>2414.819966732</c:v>
                </c:pt>
                <c:pt idx="21">
                  <c:v>3276.8287294619995</c:v>
                </c:pt>
                <c:pt idx="22">
                  <c:v>3151.798699765</c:v>
                </c:pt>
                <c:pt idx="23">
                  <c:v>3088.471982299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2-4B4E-9D0C-145BE5FCD924}"/>
            </c:ext>
          </c:extLst>
        </c:ser>
        <c:ser>
          <c:idx val="0"/>
          <c:order val="1"/>
          <c:tx>
            <c:strRef>
              <c:f>Fig_historico_Kaya!$C$2</c:f>
              <c:strCache>
                <c:ptCount val="1"/>
                <c:pt idx="0">
                  <c:v>Histórico da demanda de passageiros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Fig_historico_Kaya!$D$14:$D$37</c:f>
              <c:numCache>
                <c:formatCode>General</c:formatCode>
                <c:ptCount val="24"/>
                <c:pt idx="0">
                  <c:v>4803.8419827900007</c:v>
                </c:pt>
                <c:pt idx="1">
                  <c:v>4621.0532037300009</c:v>
                </c:pt>
                <c:pt idx="2">
                  <c:v>4522.9314564899996</c:v>
                </c:pt>
                <c:pt idx="3">
                  <c:v>4527.1318302</c:v>
                </c:pt>
                <c:pt idx="4">
                  <c:v>5033.5614755100005</c:v>
                </c:pt>
                <c:pt idx="5">
                  <c:v>6013.2438486000001</c:v>
                </c:pt>
                <c:pt idx="6">
                  <c:v>6498.3493177200007</c:v>
                </c:pt>
                <c:pt idx="7">
                  <c:v>7146.5803483500003</c:v>
                </c:pt>
                <c:pt idx="8">
                  <c:v>7804.2738231000003</c:v>
                </c:pt>
                <c:pt idx="9">
                  <c:v>8492.0785704900009</c:v>
                </c:pt>
                <c:pt idx="10">
                  <c:v>10294.54556418</c:v>
                </c:pt>
                <c:pt idx="11">
                  <c:v>11915.596459169999</c:v>
                </c:pt>
                <c:pt idx="12">
                  <c:v>12790.455107040001</c:v>
                </c:pt>
                <c:pt idx="13">
                  <c:v>13197.61578321</c:v>
                </c:pt>
                <c:pt idx="14">
                  <c:v>14165.343198449998</c:v>
                </c:pt>
                <c:pt idx="15">
                  <c:v>14551.981770966537</c:v>
                </c:pt>
                <c:pt idx="16">
                  <c:v>13655.381800679999</c:v>
                </c:pt>
                <c:pt idx="17">
                  <c:v>14063.023691009997</c:v>
                </c:pt>
                <c:pt idx="18">
                  <c:v>15047.805671550001</c:v>
                </c:pt>
                <c:pt idx="19">
                  <c:v>15159.80469033</c:v>
                </c:pt>
                <c:pt idx="20">
                  <c:v>6249.6281479499994</c:v>
                </c:pt>
                <c:pt idx="21">
                  <c:v>7870.7878278299995</c:v>
                </c:pt>
                <c:pt idx="22">
                  <c:v>12717.890367443999</c:v>
                </c:pt>
                <c:pt idx="23">
                  <c:v>14567.75125992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27952"/>
        <c:axId val="728628432"/>
      </c:areaChart>
      <c:lineChart>
        <c:grouping val="standard"/>
        <c:varyColors val="0"/>
        <c:ser>
          <c:idx val="4"/>
          <c:order val="2"/>
          <c:tx>
            <c:strRef>
              <c:f>Fig_futuro_Kaya!$L$3</c:f>
              <c:strCache>
                <c:ptCount val="1"/>
                <c:pt idx="0">
                  <c:v>Projeção Acelerada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ED2-4B4E-9D0C-145BE5FCD924}"/>
              </c:ext>
            </c:extLst>
          </c:dPt>
          <c:val>
            <c:numRef>
              <c:f>Fig_futuro_Kaya!$L$4:$L$54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 formatCode="_(* #,##0.00_);_(* \(#,##0.00\);_(* &quot;-&quot;??_);_(@_)">
                  <c:v>18167.924061027999</c:v>
                </c:pt>
                <c:pt idx="25" formatCode="_(* #,##0.00_);_(* \(#,##0.00\);_(* &quot;-&quot;??_);_(@_)">
                  <c:v>18718.910454457517</c:v>
                </c:pt>
                <c:pt idx="26" formatCode="_(* #,##0.00_);_(* \(#,##0.00\);_(* &quot;-&quot;??_);_(@_)">
                  <c:v>19286.60684759447</c:v>
                </c:pt>
                <c:pt idx="27" formatCode="_(* #,##0.00_);_(* \(#,##0.00\);_(* &quot;-&quot;??_);_(@_)">
                  <c:v>19871.520011737655</c:v>
                </c:pt>
                <c:pt idx="28" formatCode="_(* #,##0.00_);_(* \(#,##0.00\);_(* &quot;-&quot;??_);_(@_)">
                  <c:v>20474.172087255542</c:v>
                </c:pt>
                <c:pt idx="29" formatCode="_(* #,##0.00_);_(* \(#,##0.00\);_(* &quot;-&quot;??_);_(@_)">
                  <c:v>21095.101049690551</c:v>
                </c:pt>
                <c:pt idx="30" formatCode="_(* #,##0.00_);_(* \(#,##0.00\);_(* &quot;-&quot;??_);_(@_)">
                  <c:v>21734.861189999203</c:v>
                </c:pt>
                <c:pt idx="31" formatCode="_(* #,##0.00_);_(* \(#,##0.00\);_(* &quot;-&quot;??_);_(@_)">
                  <c:v>22394.023609356605</c:v>
                </c:pt>
                <c:pt idx="32" formatCode="_(* #,##0.00_);_(* \(#,##0.00\);_(* &quot;-&quot;??_);_(@_)">
                  <c:v>23073.176728967159</c:v>
                </c:pt>
                <c:pt idx="33" formatCode="_(* #,##0.00_);_(* \(#,##0.00\);_(* &quot;-&quot;??_);_(@_)">
                  <c:v>23772.926815336476</c:v>
                </c:pt>
                <c:pt idx="34" formatCode="_(* #,##0.00_);_(* \(#,##0.00\);_(* &quot;-&quot;??_);_(@_)">
                  <c:v>24493.898521473435</c:v>
                </c:pt>
                <c:pt idx="35" formatCode="_(* #,##0.00_);_(* \(#,##0.00\);_(* &quot;-&quot;??_);_(@_)">
                  <c:v>25236.73544450555</c:v>
                </c:pt>
                <c:pt idx="36" formatCode="_(* #,##0.00_);_(* \(#,##0.00\);_(* &quot;-&quot;??_);_(@_)">
                  <c:v>26002.100700205337</c:v>
                </c:pt>
                <c:pt idx="37" formatCode="_(* #,##0.00_);_(* \(#,##0.00\);_(* &quot;-&quot;??_);_(@_)">
                  <c:v>26790.677514940573</c:v>
                </c:pt>
                <c:pt idx="38" formatCode="_(* #,##0.00_);_(* \(#,##0.00\);_(* &quot;-&quot;??_);_(@_)">
                  <c:v>27603.169835576966</c:v>
                </c:pt>
                <c:pt idx="39" formatCode="_(* #,##0.00_);_(* \(#,##0.00\);_(* &quot;-&quot;??_);_(@_)">
                  <c:v>28440.302957877484</c:v>
                </c:pt>
                <c:pt idx="40" formatCode="_(* #,##0.00_);_(* \(#,##0.00\);_(* &quot;-&quot;??_);_(@_)">
                  <c:v>29302.824173959503</c:v>
                </c:pt>
                <c:pt idx="41" formatCode="_(* #,##0.00_);_(* \(#,##0.00\);_(* &quot;-&quot;??_);_(@_)">
                  <c:v>30191.503439387674</c:v>
                </c:pt>
                <c:pt idx="42" formatCode="_(* #,##0.00_);_(* \(#,##0.00\);_(* &quot;-&quot;??_);_(@_)">
                  <c:v>31107.13406049793</c:v>
                </c:pt>
                <c:pt idx="43" formatCode="_(* #,##0.00_);_(* \(#,##0.00\);_(* &quot;-&quot;??_);_(@_)">
                  <c:v>32050.533402566318</c:v>
                </c:pt>
                <c:pt idx="44" formatCode="_(* #,##0.00_);_(* \(#,##0.00\);_(* &quot;-&quot;??_);_(@_)">
                  <c:v>33022.543619454736</c:v>
                </c:pt>
                <c:pt idx="45" formatCode="_(* #,##0.00_);_(* \(#,##0.00\);_(* &quot;-&quot;??_);_(@_)">
                  <c:v>34024.032405385005</c:v>
                </c:pt>
                <c:pt idx="46" formatCode="_(* #,##0.00_);_(* \(#,##0.00\);_(* &quot;-&quot;??_);_(@_)">
                  <c:v>35055.893769512229</c:v>
                </c:pt>
                <c:pt idx="47" formatCode="_(* #,##0.00_);_(* \(#,##0.00\);_(* &quot;-&quot;??_);_(@_)">
                  <c:v>36119.048833989022</c:v>
                </c:pt>
                <c:pt idx="48" formatCode="_(* #,##0.00_);_(* \(#,##0.00\);_(* &quot;-&quot;??_);_(@_)">
                  <c:v>37214.446656233005</c:v>
                </c:pt>
                <c:pt idx="49" formatCode="_(* #,##0.00_);_(* \(#,##0.00\);_(* &quot;-&quot;??_);_(@_)">
                  <c:v>38343.065076131483</c:v>
                </c:pt>
                <c:pt idx="50" formatCode="_(* #,##0.00_);_(* \(#,##0.00\);_(* &quot;-&quot;??_);_(@_)">
                  <c:v>39505.911588939707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D2-4B4E-9D0C-145BE5FCD924}"/>
            </c:ext>
          </c:extLst>
        </c:ser>
        <c:ser>
          <c:idx val="3"/>
          <c:order val="3"/>
          <c:tx>
            <c:strRef>
              <c:f>Fig_futuro_Kaya!$K$3</c:f>
              <c:strCache>
                <c:ptCount val="1"/>
                <c:pt idx="0">
                  <c:v>Projeção Moderada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CED2-4B4E-9D0C-145BE5FCD924}"/>
              </c:ext>
            </c:extLst>
          </c:dPt>
          <c:val>
            <c:numRef>
              <c:f>Fig_futuro_Kaya!$K$4:$K$54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 formatCode="_(* #,##0.00_);_(* \(#,##0.00\);_(* &quot;-&quot;??_);_(@_)">
                  <c:v>18167.924061027999</c:v>
                </c:pt>
                <c:pt idx="25" formatCode="_(* #,##0.00_);_(* \(#,##0.00\);_(* &quot;-&quot;??_);_(@_)">
                  <c:v>18463.436300075122</c:v>
                </c:pt>
                <c:pt idx="26" formatCode="_(* #,##0.00_);_(* \(#,##0.00\);_(* &quot;-&quot;??_);_(@_)">
                  <c:v>18763.755223866923</c:v>
                </c:pt>
                <c:pt idx="27" formatCode="_(* #,##0.00_);_(* \(#,##0.00\);_(* &quot;-&quot;??_);_(@_)">
                  <c:v>19068.959016028904</c:v>
                </c:pt>
                <c:pt idx="28" formatCode="_(* #,##0.00_);_(* \(#,##0.00\);_(* &quot;-&quot;??_);_(@_)">
                  <c:v>19379.127131890433</c:v>
                </c:pt>
                <c:pt idx="29" formatCode="_(* #,##0.00_);_(* \(#,##0.00\);_(* &quot;-&quot;??_);_(@_)">
                  <c:v>19694.340319169667</c:v>
                </c:pt>
                <c:pt idx="30" formatCode="_(* #,##0.00_);_(* \(#,##0.00\);_(* &quot;-&quot;??_);_(@_)">
                  <c:v>20014.680638995102</c:v>
                </c:pt>
                <c:pt idx="31" formatCode="_(* #,##0.00_);_(* \(#,##0.00\);_(* &quot;-&quot;??_);_(@_)">
                  <c:v>20340.231487268928</c:v>
                </c:pt>
                <c:pt idx="32" formatCode="_(* #,##0.00_);_(* \(#,##0.00\);_(* &quot;-&quot;??_);_(@_)">
                  <c:v>20671.077616378047</c:v>
                </c:pt>
                <c:pt idx="33" formatCode="_(* #,##0.00_);_(* \(#,##0.00\);_(* &quot;-&quot;??_);_(@_)">
                  <c:v>21007.305157257972</c:v>
                </c:pt>
                <c:pt idx="34" formatCode="_(* #,##0.00_);_(* \(#,##0.00\);_(* &quot;-&quot;??_);_(@_)">
                  <c:v>21349.001641815848</c:v>
                </c:pt>
                <c:pt idx="35" formatCode="_(* #,##0.00_);_(* \(#,##0.00\);_(* &quot;-&quot;??_);_(@_)">
                  <c:v>21696.256025717994</c:v>
                </c:pt>
                <c:pt idx="36" formatCode="_(* #,##0.00_);_(* \(#,##0.00\);_(* &quot;-&quot;??_);_(@_)">
                  <c:v>22049.158711548389</c:v>
                </c:pt>
                <c:pt idx="37" formatCode="_(* #,##0.00_);_(* \(#,##0.00\);_(* &quot;-&quot;??_);_(@_)">
                  <c:v>22407.80157234348</c:v>
                </c:pt>
                <c:pt idx="38" formatCode="_(* #,##0.00_);_(* \(#,##0.00\);_(* &quot;-&quot;??_);_(@_)">
                  <c:v>22772.277975510024</c:v>
                </c:pt>
                <c:pt idx="39" formatCode="_(* #,##0.00_);_(* \(#,##0.00\);_(* &quot;-&quot;??_);_(@_)">
                  <c:v>23142.682807132023</c:v>
                </c:pt>
                <c:pt idx="40" formatCode="_(* #,##0.00_);_(* \(#,##0.00\);_(* &quot;-&quot;??_);_(@_)">
                  <c:v>23519.112496672784</c:v>
                </c:pt>
                <c:pt idx="41" formatCode="_(* #,##0.00_);_(* \(#,##0.00\);_(* &quot;-&quot;??_);_(@_)">
                  <c:v>23901.665042078988</c:v>
                </c:pt>
                <c:pt idx="42" formatCode="_(* #,##0.00_);_(* \(#,##0.00\);_(* &quot;-&quot;??_);_(@_)">
                  <c:v>24290.440035292988</c:v>
                </c:pt>
                <c:pt idx="43" formatCode="_(* #,##0.00_);_(* \(#,##0.00\);_(* &quot;-&quot;??_);_(@_)">
                  <c:v>24685.53868818019</c:v>
                </c:pt>
                <c:pt idx="44" formatCode="_(* #,##0.00_);_(* \(#,##0.00\);_(* &quot;-&quot;??_);_(@_)">
                  <c:v>25087.06385887798</c:v>
                </c:pt>
                <c:pt idx="45" formatCode="_(* #,##0.00_);_(* \(#,##0.00\);_(* &quot;-&quot;??_);_(@_)">
                  <c:v>25495.120078573327</c:v>
                </c:pt>
                <c:pt idx="46" formatCode="_(* #,##0.00_);_(* \(#,##0.00\);_(* &quot;-&quot;??_);_(@_)">
                  <c:v>25909.813578715995</c:v>
                </c:pt>
                <c:pt idx="47" formatCode="_(* #,##0.00_);_(* \(#,##0.00\);_(* &quot;-&quot;??_);_(@_)">
                  <c:v>26331.252318674411</c:v>
                </c:pt>
                <c:pt idx="48" formatCode="_(* #,##0.00_);_(* \(#,##0.00\);_(* &quot;-&quot;??_);_(@_)">
                  <c:v>26759.546013841136</c:v>
                </c:pt>
                <c:pt idx="49" formatCode="_(* #,##0.00_);_(* \(#,##0.00\);_(* &quot;-&quot;??_);_(@_)">
                  <c:v>27194.806164195772</c:v>
                </c:pt>
                <c:pt idx="50" formatCode="_(* #,##0.00_);_(* \(#,##0.00\);_(* &quot;-&quot;??_);_(@_)">
                  <c:v>27637.146083332285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D2-4B4E-9D0C-145BE5FCD924}"/>
            </c:ext>
          </c:extLst>
        </c:ser>
        <c:ser>
          <c:idx val="2"/>
          <c:order val="4"/>
          <c:tx>
            <c:strRef>
              <c:f>Fig_futuro_Kaya!$J$3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CED2-4B4E-9D0C-145BE5FCD924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CED2-4B4E-9D0C-145BE5FCD924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CED2-4B4E-9D0C-145BE5FCD924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CED2-4B4E-9D0C-145BE5FCD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CED2-4B4E-9D0C-145BE5FCD924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CED2-4B4E-9D0C-145BE5FCD924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CED2-4B4E-9D0C-145BE5FCD924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CED2-4B4E-9D0C-145BE5FCD924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CED2-4B4E-9D0C-145BE5FCD924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CED2-4B4E-9D0C-145BE5FCD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CED2-4B4E-9D0C-145BE5FCD924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CED2-4B4E-9D0C-145BE5FCD924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CED2-4B4E-9D0C-145BE5FCD924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CED2-4B4E-9D0C-145BE5FCD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CED2-4B4E-9D0C-145BE5FCD924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CED2-4B4E-9D0C-145BE5FCD924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CED2-4B4E-9D0C-145BE5FCD924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CED2-4B4E-9D0C-145BE5FCD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CED2-4B4E-9D0C-145BE5FCD924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CED2-4B4E-9D0C-145BE5FCD924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CED2-4B4E-9D0C-145BE5FCD924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CED2-4B4E-9D0C-145BE5FCD924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CED2-4B4E-9D0C-145BE5FCD924}"/>
              </c:ext>
            </c:extLst>
          </c:dPt>
          <c:val>
            <c:numRef>
              <c:f>Fig_futuro_Kaya!$J$4:$J$54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>
                  <c:v>18167.924061027999</c:v>
                </c:pt>
                <c:pt idx="25">
                  <c:v>18557.459059453282</c:v>
                </c:pt>
                <c:pt idx="26">
                  <c:v>18955.346003565301</c:v>
                </c:pt>
                <c:pt idx="27">
                  <c:v>19361.763965840273</c:v>
                </c:pt>
                <c:pt idx="28">
                  <c:v>19776.895858213313</c:v>
                </c:pt>
                <c:pt idx="29">
                  <c:v>20200.928514399486</c:v>
                </c:pt>
                <c:pt idx="30">
                  <c:v>20634.052773979889</c:v>
                </c:pt>
                <c:pt idx="31">
                  <c:v>21076.463568290786</c:v>
                </c:pt>
                <c:pt idx="32">
                  <c:v>21528.360008154046</c:v>
                </c:pt>
                <c:pt idx="33">
                  <c:v>21989.945473488769</c:v>
                </c:pt>
                <c:pt idx="34">
                  <c:v>22461.427704844104</c:v>
                </c:pt>
                <c:pt idx="35">
                  <c:v>22943.018896894766</c:v>
                </c:pt>
                <c:pt idx="36">
                  <c:v>23434.935793941033</c:v>
                </c:pt>
                <c:pt idx="37">
                  <c:v>23937.39978745647</c:v>
                </c:pt>
                <c:pt idx="38">
                  <c:v>24450.637015727058</c:v>
                </c:pt>
                <c:pt idx="39">
                  <c:v>24974.878465626614</c:v>
                </c:pt>
                <c:pt idx="40">
                  <c:v>25510.36007657458</c:v>
                </c:pt>
                <c:pt idx="41">
                  <c:v>26057.322846722484</c:v>
                </c:pt>
                <c:pt idx="42">
                  <c:v>26616.012941417386</c:v>
                </c:pt>
                <c:pt idx="43">
                  <c:v>27186.681803990541</c:v>
                </c:pt>
                <c:pt idx="44">
                  <c:v>27769.586268921888</c:v>
                </c:pt>
                <c:pt idx="45">
                  <c:v>28364.988677430367</c:v>
                </c:pt>
                <c:pt idx="46">
                  <c:v>28973.156995543133</c:v>
                </c:pt>
                <c:pt idx="47">
                  <c:v>29594.364934695848</c:v>
                </c:pt>
                <c:pt idx="48">
                  <c:v>30228.892074918946</c:v>
                </c:pt>
                <c:pt idx="49">
                  <c:v>30877.023990664922</c:v>
                </c:pt>
                <c:pt idx="50">
                  <c:v>31539.0523793338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D2-4B4E-9D0C-145BE5FCD924}"/>
            </c:ext>
          </c:extLst>
        </c:ser>
        <c:ser>
          <c:idx val="5"/>
          <c:order val="5"/>
          <c:tx>
            <c:v>historico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CED2-4B4E-9D0C-145BE5FCD924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CED2-4B4E-9D0C-145BE5FCD924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CED2-4B4E-9D0C-145BE5FCD924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CED2-4B4E-9D0C-145BE5FCD924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CED2-4B4E-9D0C-145BE5FCD924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CED2-4B4E-9D0C-145BE5FCD924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CED2-4B4E-9D0C-145BE5FCD924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CED2-4B4E-9D0C-145BE5FCD924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CED2-4B4E-9D0C-145BE5FCD924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CED2-4B4E-9D0C-145BE5FCD924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CED2-4B4E-9D0C-145BE5FCD924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CED2-4B4E-9D0C-145BE5FCD924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CED2-4B4E-9D0C-145BE5FCD924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CED2-4B4E-9D0C-145BE5FCD924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CED2-4B4E-9D0C-145BE5FCD924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CED2-4B4E-9D0C-145BE5FCD924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CED2-4B4E-9D0C-145BE5FCD924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CED2-4B4E-9D0C-145BE5FCD924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CED2-4B4E-9D0C-145BE5FCD924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CED2-4B4E-9D0C-145BE5FCD924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CED2-4B4E-9D0C-145BE5FCD924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CED2-4B4E-9D0C-145BE5FCD924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CED2-4B4E-9D0C-145BE5FCD924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CED2-4B4E-9D0C-145BE5FCD924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CED2-4B4E-9D0C-145BE5FCD924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CED2-4B4E-9D0C-145BE5FCD924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CED2-4B4E-9D0C-145BE5FCD924}"/>
              </c:ext>
            </c:extLst>
          </c:dPt>
          <c:val>
            <c:numRef>
              <c:f>Fig_futuro_Kaya!$J$4:$J$54</c:f>
              <c:numCache>
                <c:formatCode>_-* #,##0.00_-;\-* #,##0.00_-;_-* "-"?_-;_-@_-</c:formatCode>
                <c:ptCount val="51"/>
                <c:pt idx="0">
                  <c:v>6758.4817399920012</c:v>
                </c:pt>
                <c:pt idx="1">
                  <c:v>6530.8639524310011</c:v>
                </c:pt>
                <c:pt idx="2">
                  <c:v>6612.5866789659995</c:v>
                </c:pt>
                <c:pt idx="3">
                  <c:v>6522.7918407060006</c:v>
                </c:pt>
                <c:pt idx="4">
                  <c:v>7366.558713624001</c:v>
                </c:pt>
                <c:pt idx="5">
                  <c:v>8261.617263750999</c:v>
                </c:pt>
                <c:pt idx="6">
                  <c:v>8505.3164659410013</c:v>
                </c:pt>
                <c:pt idx="7">
                  <c:v>9141.7503731630004</c:v>
                </c:pt>
                <c:pt idx="8">
                  <c:v>9689.4408070980007</c:v>
                </c:pt>
                <c:pt idx="9">
                  <c:v>10157.627519149</c:v>
                </c:pt>
                <c:pt idx="10">
                  <c:v>12617.404400912001</c:v>
                </c:pt>
                <c:pt idx="11">
                  <c:v>14639.939826229998</c:v>
                </c:pt>
                <c:pt idx="12">
                  <c:v>15346.298321383001</c:v>
                </c:pt>
                <c:pt idx="13">
                  <c:v>15869.492021964001</c:v>
                </c:pt>
                <c:pt idx="14">
                  <c:v>16957.319391302</c:v>
                </c:pt>
                <c:pt idx="15">
                  <c:v>17036.120056485001</c:v>
                </c:pt>
                <c:pt idx="16">
                  <c:v>16333.292303236998</c:v>
                </c:pt>
                <c:pt idx="17">
                  <c:v>16857.062678297996</c:v>
                </c:pt>
                <c:pt idx="18">
                  <c:v>18405.736452665002</c:v>
                </c:pt>
                <c:pt idx="19">
                  <c:v>18167.924061027999</c:v>
                </c:pt>
                <c:pt idx="20">
                  <c:v>8664.4481146819999</c:v>
                </c:pt>
                <c:pt idx="21">
                  <c:v>11147.616557292</c:v>
                </c:pt>
                <c:pt idx="22">
                  <c:v>15869.689067208999</c:v>
                </c:pt>
                <c:pt idx="23">
                  <c:v>17656.223242218999</c:v>
                </c:pt>
                <c:pt idx="24">
                  <c:v>18167.924061027999</c:v>
                </c:pt>
                <c:pt idx="25">
                  <c:v>18557.459059453282</c:v>
                </c:pt>
                <c:pt idx="26">
                  <c:v>18955.346003565301</c:v>
                </c:pt>
                <c:pt idx="27">
                  <c:v>19361.763965840273</c:v>
                </c:pt>
                <c:pt idx="28">
                  <c:v>19776.895858213313</c:v>
                </c:pt>
                <c:pt idx="29">
                  <c:v>20200.928514399486</c:v>
                </c:pt>
                <c:pt idx="30">
                  <c:v>20634.052773979889</c:v>
                </c:pt>
                <c:pt idx="31">
                  <c:v>21076.463568290786</c:v>
                </c:pt>
                <c:pt idx="32">
                  <c:v>21528.360008154046</c:v>
                </c:pt>
                <c:pt idx="33">
                  <c:v>21989.945473488769</c:v>
                </c:pt>
                <c:pt idx="34">
                  <c:v>22461.427704844104</c:v>
                </c:pt>
                <c:pt idx="35">
                  <c:v>22943.018896894766</c:v>
                </c:pt>
                <c:pt idx="36">
                  <c:v>23434.935793941033</c:v>
                </c:pt>
                <c:pt idx="37">
                  <c:v>23937.39978745647</c:v>
                </c:pt>
                <c:pt idx="38">
                  <c:v>24450.637015727058</c:v>
                </c:pt>
                <c:pt idx="39">
                  <c:v>24974.878465626614</c:v>
                </c:pt>
                <c:pt idx="40">
                  <c:v>25510.36007657458</c:v>
                </c:pt>
                <c:pt idx="41">
                  <c:v>26057.322846722484</c:v>
                </c:pt>
                <c:pt idx="42">
                  <c:v>26616.012941417386</c:v>
                </c:pt>
                <c:pt idx="43">
                  <c:v>27186.681803990541</c:v>
                </c:pt>
                <c:pt idx="44">
                  <c:v>27769.586268921888</c:v>
                </c:pt>
                <c:pt idx="45">
                  <c:v>28364.988677430367</c:v>
                </c:pt>
                <c:pt idx="46">
                  <c:v>28973.156995543133</c:v>
                </c:pt>
                <c:pt idx="47">
                  <c:v>29594.364934695848</c:v>
                </c:pt>
                <c:pt idx="48">
                  <c:v>30228.892074918946</c:v>
                </c:pt>
                <c:pt idx="49">
                  <c:v>30877.023990664922</c:v>
                </c:pt>
                <c:pt idx="50">
                  <c:v>31539.0523793338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627952"/>
        <c:axId val="728628432"/>
      </c:lineChart>
      <c:lineChart>
        <c:grouping val="standard"/>
        <c:varyColors val="0"/>
        <c:ser>
          <c:idx val="6"/>
          <c:order val="6"/>
          <c:tx>
            <c:v>BAU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Fig_futuro_Kaya!$M$4:$M$54</c:f>
              <c:numCache>
                <c:formatCode>_(* #,##0.000_);_(* \(#,##0.000\);_(* "-"??_);_(@_)</c:formatCode>
                <c:ptCount val="51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  <c:pt idx="24">
                  <c:v>201865.82290031112</c:v>
                </c:pt>
                <c:pt idx="25">
                  <c:v>206193.9895494809</c:v>
                </c:pt>
                <c:pt idx="26">
                  <c:v>210614.95559517</c:v>
                </c:pt>
                <c:pt idx="27">
                  <c:v>215130.71073155859</c:v>
                </c:pt>
                <c:pt idx="28">
                  <c:v>219743.28731348127</c:v>
                </c:pt>
                <c:pt idx="29">
                  <c:v>224454.76127110538</c:v>
                </c:pt>
                <c:pt idx="30">
                  <c:v>229267.25304422097</c:v>
                </c:pt>
                <c:pt idx="31">
                  <c:v>234182.92853656426</c:v>
                </c:pt>
                <c:pt idx="32">
                  <c:v>239204.00009060052</c:v>
                </c:pt>
                <c:pt idx="33">
                  <c:v>244332.72748320852</c:v>
                </c:pt>
                <c:pt idx="34">
                  <c:v>249571.41894271225</c:v>
                </c:pt>
                <c:pt idx="35">
                  <c:v>254922.43218771962</c:v>
                </c:pt>
                <c:pt idx="36">
                  <c:v>260388.17548823368</c:v>
                </c:pt>
                <c:pt idx="37">
                  <c:v>265971.10874951631</c:v>
                </c:pt>
                <c:pt idx="38">
                  <c:v>271673.74461918953</c:v>
                </c:pt>
                <c:pt idx="39">
                  <c:v>277498.64961807348</c:v>
                </c:pt>
                <c:pt idx="40">
                  <c:v>283448.44529527304</c:v>
                </c:pt>
                <c:pt idx="41">
                  <c:v>289525.80940802756</c:v>
                </c:pt>
                <c:pt idx="42">
                  <c:v>295733.47712685983</c:v>
                </c:pt>
                <c:pt idx="43">
                  <c:v>302074.24226656154</c:v>
                </c:pt>
                <c:pt idx="44">
                  <c:v>308550.95854357653</c:v>
                </c:pt>
                <c:pt idx="45">
                  <c:v>315166.54086033744</c:v>
                </c:pt>
                <c:pt idx="46">
                  <c:v>321923.96661714592</c:v>
                </c:pt>
                <c:pt idx="47">
                  <c:v>328826.27705217613</c:v>
                </c:pt>
                <c:pt idx="48">
                  <c:v>335876.5786102105</c:v>
                </c:pt>
                <c:pt idx="49">
                  <c:v>343078.04434072139</c:v>
                </c:pt>
                <c:pt idx="50">
                  <c:v>350433.91532593116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CED2-4B4E-9D0C-145BE5FCD924}"/>
            </c:ext>
          </c:extLst>
        </c:ser>
        <c:ser>
          <c:idx val="7"/>
          <c:order val="7"/>
          <c:tx>
            <c:v>moderada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Fig_futuro_Kaya!$N$4:$N$27</c:f>
              <c:numCache>
                <c:formatCode>_(* #,##0.000_);_(* \(#,##0.000\);_(* "-"??_);_(@_)</c:formatCode>
                <c:ptCount val="24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CED2-4B4E-9D0C-145BE5FCD924}"/>
            </c:ext>
          </c:extLst>
        </c:ser>
        <c:ser>
          <c:idx val="8"/>
          <c:order val="8"/>
          <c:tx>
            <c:v>ambiciosa pkm_e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Fig_futuro_Kaya!$O$4:$O$54</c:f>
              <c:numCache>
                <c:formatCode>_(* #,##0.000_);_(* \(#,##0.000\);_(* "-"??_);_(@_)</c:formatCode>
                <c:ptCount val="51"/>
                <c:pt idx="0">
                  <c:v>75094.24155546668</c:v>
                </c:pt>
                <c:pt idx="1">
                  <c:v>72565.155027011118</c:v>
                </c:pt>
                <c:pt idx="2">
                  <c:v>73473.185321844445</c:v>
                </c:pt>
                <c:pt idx="3">
                  <c:v>72475.464896733334</c:v>
                </c:pt>
                <c:pt idx="4">
                  <c:v>81850.652373600009</c:v>
                </c:pt>
                <c:pt idx="5">
                  <c:v>91795.747375011109</c:v>
                </c:pt>
                <c:pt idx="6">
                  <c:v>94503.516288233339</c:v>
                </c:pt>
                <c:pt idx="7">
                  <c:v>101575.00414625555</c:v>
                </c:pt>
                <c:pt idx="8">
                  <c:v>107660.4534122</c:v>
                </c:pt>
                <c:pt idx="9">
                  <c:v>112862.52799054445</c:v>
                </c:pt>
                <c:pt idx="10">
                  <c:v>140193.38223235554</c:v>
                </c:pt>
                <c:pt idx="11">
                  <c:v>162665.9980692222</c:v>
                </c:pt>
                <c:pt idx="12">
                  <c:v>170514.42579314447</c:v>
                </c:pt>
                <c:pt idx="13">
                  <c:v>176327.68913293333</c:v>
                </c:pt>
                <c:pt idx="14">
                  <c:v>188414.65990335552</c:v>
                </c:pt>
                <c:pt idx="15">
                  <c:v>189290.22284983331</c:v>
                </c:pt>
                <c:pt idx="16">
                  <c:v>181481.02559152219</c:v>
                </c:pt>
                <c:pt idx="17">
                  <c:v>187300.69642553333</c:v>
                </c:pt>
                <c:pt idx="18">
                  <c:v>204508.18280738889</c:v>
                </c:pt>
                <c:pt idx="19">
                  <c:v>201865.82290031112</c:v>
                </c:pt>
                <c:pt idx="20">
                  <c:v>96271.645718688873</c:v>
                </c:pt>
                <c:pt idx="21">
                  <c:v>123862.40619213332</c:v>
                </c:pt>
                <c:pt idx="22">
                  <c:v>176329.87852454445</c:v>
                </c:pt>
                <c:pt idx="23">
                  <c:v>196180.25824687775</c:v>
                </c:pt>
                <c:pt idx="24">
                  <c:v>168753.38544811113</c:v>
                </c:pt>
                <c:pt idx="25">
                  <c:v>173861.80625206497</c:v>
                </c:pt>
                <c:pt idx="26">
                  <c:v>179125.15231580281</c:v>
                </c:pt>
                <c:pt idx="27">
                  <c:v>184548.12212385444</c:v>
                </c:pt>
                <c:pt idx="28">
                  <c:v>190135.55665369701</c:v>
                </c:pt>
                <c:pt idx="29">
                  <c:v>195892.44369719937</c:v>
                </c:pt>
                <c:pt idx="30">
                  <c:v>201823.92231312496</c:v>
                </c:pt>
                <c:pt idx="31">
                  <c:v>207935.28741466743</c:v>
                </c:pt>
                <c:pt idx="32">
                  <c:v>214231.99449611467</c:v>
                </c:pt>
                <c:pt idx="33">
                  <c:v>220719.66450286008</c:v>
                </c:pt>
                <c:pt idx="34">
                  <c:v>227404.08884910896</c:v>
                </c:pt>
                <c:pt idx="35">
                  <c:v>234291.23458775913</c:v>
                </c:pt>
                <c:pt idx="36">
                  <c:v>241387.24973707038</c:v>
                </c:pt>
                <c:pt idx="37">
                  <c:v>173.03985306055847</c:v>
                </c:pt>
                <c:pt idx="38">
                  <c:v>256231.41826325213</c:v>
                </c:pt>
                <c:pt idx="39">
                  <c:v>263992.8227346419</c:v>
                </c:pt>
                <c:pt idx="40">
                  <c:v>271989.61063472024</c:v>
                </c:pt>
                <c:pt idx="41">
                  <c:v>280228.92053727305</c:v>
                </c:pt>
                <c:pt idx="42">
                  <c:v>288718.1075106627</c:v>
                </c:pt>
                <c:pt idx="43">
                  <c:v>297464.74968355149</c:v>
                </c:pt>
                <c:pt idx="44">
                  <c:v>306476.65500974661</c:v>
                </c:pt>
                <c:pt idx="45">
                  <c:v>315761.86823820556</c:v>
                </c:pt>
                <c:pt idx="46">
                  <c:v>325328.6780944239</c:v>
                </c:pt>
                <c:pt idx="47">
                  <c:v>335185.62467961555</c:v>
                </c:pt>
                <c:pt idx="48">
                  <c:v>345341.50709429214</c:v>
                </c:pt>
                <c:pt idx="49">
                  <c:v>355805.39129304484</c:v>
                </c:pt>
                <c:pt idx="50">
                  <c:v>366586.61817754246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CED2-4B4E-9D0C-145BE5FCD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067311"/>
        <c:axId val="300070191"/>
      </c:lineChart>
      <c:catAx>
        <c:axId val="72862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8432"/>
        <c:crossesAt val="0"/>
        <c:auto val="1"/>
        <c:lblAlgn val="ctr"/>
        <c:lblOffset val="100"/>
        <c:tickLblSkip val="10"/>
        <c:tickMarkSkip val="10"/>
        <c:noMultiLvlLbl val="0"/>
      </c:catAx>
      <c:valAx>
        <c:axId val="72862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14:m xmlns:a14="http://schemas.microsoft.com/office/drawing/2010/main">
                  <m:oMath xmlns:m="http://schemas.openxmlformats.org/officeDocument/2006/math">
                    <m:sSup>
                      <m:sSupPr>
                        <m:ctrlP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20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pt-BR" sz="1200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</m:oMath>
                </a14:m>
                <a:r>
                  <a:rPr lang="pt-BR" sz="1200">
                    <a:solidFill>
                      <a:sysClr val="windowText" lastClr="000000"/>
                    </a:solidFill>
                  </a:rPr>
                  <a:t> tkm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7952"/>
        <c:crosses val="autoZero"/>
        <c:crossBetween val="between"/>
        <c:dispUnits>
          <c:builtInUnit val="tenThousands"/>
        </c:dispUnits>
      </c:valAx>
      <c:valAx>
        <c:axId val="3000701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14:m xmlns:a14="http://schemas.microsoft.com/office/drawing/2010/main"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p>
                        <m:sSupPr>
                          <m:ctrlPr>
                            <a:rPr lang="pt-BR" sz="1100" b="0" i="1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pt-BR" sz="1100" b="0" i="0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10</m:t>
                          </m:r>
                        </m:e>
                        <m:sup>
                          <m:r>
                            <a:rPr lang="pt-BR" sz="1100" b="0" i="0" u="none" strike="noStrike" kern="1200" baseline="0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4</m:t>
                          </m:r>
                        </m:sup>
                      </m:sSup>
                      <m:r>
                        <m:rPr>
                          <m:sty m:val="p"/>
                        </m:rPr>
                        <a:rPr lang="pt-BR" sz="1100" b="0" i="0" u="none" strike="noStrike" kern="1200" baseline="0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  <m:t>pkm</m:t>
                      </m:r>
                    </m:oMath>
                  </m:oMathPara>
                </a14:m>
                <a:endParaRPr lang="pt-BR"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300067311"/>
        <c:crosses val="max"/>
        <c:crossBetween val="between"/>
        <c:dispUnits>
          <c:builtInUnit val="tenThousands"/>
        </c:dispUnits>
      </c:valAx>
      <c:catAx>
        <c:axId val="300067311"/>
        <c:scaling>
          <c:orientation val="minMax"/>
        </c:scaling>
        <c:delete val="1"/>
        <c:axPos val="b"/>
        <c:majorTickMark val="out"/>
        <c:minorTickMark val="none"/>
        <c:tickLblPos val="nextTo"/>
        <c:crossAx val="300070191"/>
        <c:crossesAt val="500000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Intensidade energética da aviação brasileira</a:t>
            </a:r>
          </a:p>
        </c:rich>
      </c:tx>
      <c:layout>
        <c:manualLayout>
          <c:xMode val="edge"/>
          <c:yMode val="edge"/>
          <c:x val="0.32829835805408047"/>
          <c:y val="2.2684310018903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Fig_historico_Kaya!$K$2</c:f>
              <c:strCache>
                <c:ptCount val="1"/>
                <c:pt idx="0">
                  <c:v>Histórico da intensidade Energética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570-4EDB-8BDC-C792C76D7D2C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570-4EDB-8BDC-C792C76D7D2C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570-4EDB-8BDC-C792C76D7D2C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70-4EDB-8BDC-C792C76D7D2C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570-4EDB-8BDC-C792C76D7D2C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70-4EDB-8BDC-C792C76D7D2C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0570-4EDB-8BDC-C792C76D7D2C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0570-4EDB-8BDC-C792C76D7D2C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0570-4EDB-8BDC-C792C76D7D2C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0570-4EDB-8BDC-C792C76D7D2C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0570-4EDB-8BDC-C792C76D7D2C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0570-4EDB-8BDC-C792C76D7D2C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0570-4EDB-8BDC-C792C76D7D2C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0570-4EDB-8BDC-C792C76D7D2C}"/>
              </c:ext>
            </c:extLst>
          </c:dPt>
          <c:cat>
            <c:numRef>
              <c:f>Fig_futuro_Kaya!$A$4:$A$54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Fig_historico_Kaya!$K$14:$K$37</c:f>
              <c:numCache>
                <c:formatCode>General</c:formatCode>
                <c:ptCount val="24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078A-44EE-9022-EB23A388F5E0}"/>
            </c:ext>
          </c:extLst>
        </c:ser>
        <c:ser>
          <c:idx val="0"/>
          <c:order val="1"/>
          <c:tx>
            <c:strRef>
              <c:f>Fig_futuro_Kaya!$Q$3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078A-44EE-9022-EB23A388F5E0}"/>
              </c:ext>
            </c:extLst>
          </c:dPt>
          <c:val>
            <c:numRef>
              <c:f>Fig_futuro_Kaya!$Q$4:$Q$54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14.669900320106411</c:v>
                </c:pt>
                <c:pt idx="25">
                  <c:v>14.529069277033388</c:v>
                </c:pt>
                <c:pt idx="26">
                  <c:v>14.389590211973866</c:v>
                </c:pt>
                <c:pt idx="27">
                  <c:v>14.251450145938916</c:v>
                </c:pt>
                <c:pt idx="28">
                  <c:v>14.114636224537902</c:v>
                </c:pt>
                <c:pt idx="29">
                  <c:v>13.979135716782338</c:v>
                </c:pt>
                <c:pt idx="30">
                  <c:v>13.844936013901227</c:v>
                </c:pt>
                <c:pt idx="31">
                  <c:v>13.712024628167775</c:v>
                </c:pt>
                <c:pt idx="32">
                  <c:v>13.580389191737364</c:v>
                </c:pt>
                <c:pt idx="33">
                  <c:v>13.450017455496685</c:v>
                </c:pt>
                <c:pt idx="34">
                  <c:v>13.320897287923916</c:v>
                </c:pt>
                <c:pt idx="35">
                  <c:v>13.193016673959846</c:v>
                </c:pt>
                <c:pt idx="36">
                  <c:v>13.066363713889832</c:v>
                </c:pt>
                <c:pt idx="37">
                  <c:v>12.940926622236489</c:v>
                </c:pt>
                <c:pt idx="38">
                  <c:v>12.816693726663019</c:v>
                </c:pt>
                <c:pt idx="39">
                  <c:v>12.693653466887053</c:v>
                </c:pt>
                <c:pt idx="40">
                  <c:v>12.571794393604936</c:v>
                </c:pt>
                <c:pt idx="41">
                  <c:v>12.451105167426327</c:v>
                </c:pt>
                <c:pt idx="42">
                  <c:v>12.331574557819033</c:v>
                </c:pt>
                <c:pt idx="43">
                  <c:v>12.21319144206397</c:v>
                </c:pt>
                <c:pt idx="44">
                  <c:v>12.095944804220155</c:v>
                </c:pt>
                <c:pt idx="45">
                  <c:v>11.979823734099641</c:v>
                </c:pt>
                <c:pt idx="46">
                  <c:v>11.864817426252284</c:v>
                </c:pt>
                <c:pt idx="47">
                  <c:v>11.750915178960261</c:v>
                </c:pt>
                <c:pt idx="48">
                  <c:v>11.638106393242241</c:v>
                </c:pt>
                <c:pt idx="49">
                  <c:v>11.526380571867115</c:v>
                </c:pt>
                <c:pt idx="50">
                  <c:v>11.41572731837719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078A-44EE-9022-EB23A388F5E0}"/>
            </c:ext>
          </c:extLst>
        </c:ser>
        <c:ser>
          <c:idx val="2"/>
          <c:order val="2"/>
          <c:tx>
            <c:strRef>
              <c:f>Fig_futuro_Kaya!$R$3</c:f>
              <c:strCache>
                <c:ptCount val="1"/>
                <c:pt idx="0">
                  <c:v>Projeção Moderada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078A-44EE-9022-EB23A388F5E0}"/>
              </c:ext>
            </c:extLst>
          </c:dPt>
          <c:val>
            <c:numRef>
              <c:f>Fig_futuro_Kaya!$R$4:$R$54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14.66342688536335</c:v>
                </c:pt>
                <c:pt idx="25">
                  <c:v>14.514757324738804</c:v>
                </c:pt>
                <c:pt idx="26">
                  <c:v>14.366087764114258</c:v>
                </c:pt>
                <c:pt idx="27">
                  <c:v>14.217418203489713</c:v>
                </c:pt>
                <c:pt idx="28">
                  <c:v>14.068748642865167</c:v>
                </c:pt>
                <c:pt idx="29">
                  <c:v>13.920079082240621</c:v>
                </c:pt>
                <c:pt idx="30">
                  <c:v>13.771409521616075</c:v>
                </c:pt>
                <c:pt idx="31">
                  <c:v>13.622739960991529</c:v>
                </c:pt>
                <c:pt idx="32">
                  <c:v>13.474070400366983</c:v>
                </c:pt>
                <c:pt idx="33">
                  <c:v>13.325400839742437</c:v>
                </c:pt>
                <c:pt idx="34">
                  <c:v>13.176731279117892</c:v>
                </c:pt>
                <c:pt idx="35">
                  <c:v>13.028061718493346</c:v>
                </c:pt>
                <c:pt idx="36">
                  <c:v>12.8793921578688</c:v>
                </c:pt>
                <c:pt idx="37">
                  <c:v>12.730722597244254</c:v>
                </c:pt>
                <c:pt idx="38">
                  <c:v>12.582053036619708</c:v>
                </c:pt>
                <c:pt idx="39">
                  <c:v>12.433383475995162</c:v>
                </c:pt>
                <c:pt idx="40">
                  <c:v>12.284713915370617</c:v>
                </c:pt>
                <c:pt idx="41">
                  <c:v>12.136044354746071</c:v>
                </c:pt>
                <c:pt idx="42">
                  <c:v>11.987374794121525</c:v>
                </c:pt>
                <c:pt idx="43">
                  <c:v>11.838705233496979</c:v>
                </c:pt>
                <c:pt idx="44">
                  <c:v>11.690035672872433</c:v>
                </c:pt>
                <c:pt idx="45">
                  <c:v>11.541366112247887</c:v>
                </c:pt>
                <c:pt idx="46">
                  <c:v>11.392696551623342</c:v>
                </c:pt>
                <c:pt idx="47">
                  <c:v>11.244026990998796</c:v>
                </c:pt>
                <c:pt idx="48">
                  <c:v>11.09535743037425</c:v>
                </c:pt>
                <c:pt idx="49">
                  <c:v>10.946687869749704</c:v>
                </c:pt>
                <c:pt idx="50">
                  <c:v>10.798018309125176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078A-44EE-9022-EB23A388F5E0}"/>
            </c:ext>
          </c:extLst>
        </c:ser>
        <c:ser>
          <c:idx val="3"/>
          <c:order val="3"/>
          <c:tx>
            <c:strRef>
              <c:f>Fig_futuro_Kaya!$S$3</c:f>
              <c:strCache>
                <c:ptCount val="1"/>
                <c:pt idx="0">
                  <c:v>Projeção Acelerada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078A-44EE-9022-EB23A388F5E0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078A-44EE-9022-EB23A388F5E0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078A-44EE-9022-EB23A388F5E0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078A-44EE-9022-EB23A388F5E0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078A-44EE-9022-EB23A388F5E0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078A-44EE-9022-EB23A388F5E0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078A-44EE-9022-EB23A388F5E0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078A-44EE-9022-EB23A388F5E0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078A-44EE-9022-EB23A388F5E0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078A-44EE-9022-EB23A388F5E0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078A-44EE-9022-EB23A388F5E0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078A-44EE-9022-EB23A388F5E0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078A-44EE-9022-EB23A388F5E0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078A-44EE-9022-EB23A388F5E0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078A-44EE-9022-EB23A388F5E0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078A-44EE-9022-EB23A388F5E0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078A-44EE-9022-EB23A388F5E0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078A-44EE-9022-EB23A388F5E0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078A-44EE-9022-EB23A388F5E0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078A-44EE-9022-EB23A388F5E0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078A-44EE-9022-EB23A388F5E0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078A-44EE-9022-EB23A388F5E0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078A-44EE-9022-EB23A388F5E0}"/>
              </c:ext>
            </c:extLst>
          </c:dPt>
          <c:val>
            <c:numRef>
              <c:f>Fig_futuro_Kaya!$S$4:$S$54</c:f>
              <c:numCache>
                <c:formatCode>_(* #,##0.000_);_(* \(#,##0.000\);_(* "-"??_);_(@_)</c:formatCode>
                <c:ptCount val="51"/>
                <c:pt idx="0">
                  <c:v>26.646484732562602</c:v>
                </c:pt>
                <c:pt idx="1">
                  <c:v>27.765892816141285</c:v>
                </c:pt>
                <c:pt idx="2">
                  <c:v>27.45217337981051</c:v>
                </c:pt>
                <c:pt idx="3">
                  <c:v>24.058944671613862</c:v>
                </c:pt>
                <c:pt idx="4">
                  <c:v>22.322952126326239</c:v>
                </c:pt>
                <c:pt idx="5">
                  <c:v>21.035950016599482</c:v>
                </c:pt>
                <c:pt idx="6">
                  <c:v>20.432455182109798</c:v>
                </c:pt>
                <c:pt idx="7">
                  <c:v>20.826422616302363</c:v>
                </c:pt>
                <c:pt idx="8">
                  <c:v>21.631106863732253</c:v>
                </c:pt>
                <c:pt idx="9">
                  <c:v>20.981136096813181</c:v>
                </c:pt>
                <c:pt idx="10">
                  <c:v>19.38212053015193</c:v>
                </c:pt>
                <c:pt idx="11">
                  <c:v>18.55519694122497</c:v>
                </c:pt>
                <c:pt idx="12">
                  <c:v>18.566769587522401</c:v>
                </c:pt>
                <c:pt idx="13">
                  <c:v>17.875713733267446</c:v>
                </c:pt>
                <c:pt idx="14">
                  <c:v>17.192104021673195</c:v>
                </c:pt>
                <c:pt idx="15">
                  <c:v>16.575707500711399</c:v>
                </c:pt>
                <c:pt idx="16">
                  <c:v>16.189969992583379</c:v>
                </c:pt>
                <c:pt idx="17">
                  <c:v>15.45628273693449</c:v>
                </c:pt>
                <c:pt idx="18">
                  <c:v>15.149716147876603</c:v>
                </c:pt>
                <c:pt idx="19">
                  <c:v>14.955053322070425</c:v>
                </c:pt>
                <c:pt idx="20">
                  <c:v>15.928959025806968</c:v>
                </c:pt>
                <c:pt idx="21">
                  <c:v>15.310341228534362</c:v>
                </c:pt>
                <c:pt idx="22">
                  <c:v>14.706149427046395</c:v>
                </c:pt>
                <c:pt idx="23">
                  <c:v>14.812096445987896</c:v>
                </c:pt>
                <c:pt idx="24">
                  <c:v>14.625025153836715</c:v>
                </c:pt>
                <c:pt idx="25">
                  <c:v>14.437953861685534</c:v>
                </c:pt>
                <c:pt idx="26">
                  <c:v>14.250882569534353</c:v>
                </c:pt>
                <c:pt idx="27">
                  <c:v>14.063811277383172</c:v>
                </c:pt>
                <c:pt idx="28">
                  <c:v>13.876739985231991</c:v>
                </c:pt>
                <c:pt idx="29">
                  <c:v>13.68966869308081</c:v>
                </c:pt>
                <c:pt idx="30">
                  <c:v>13.502597400929629</c:v>
                </c:pt>
                <c:pt idx="31">
                  <c:v>13.315526108778448</c:v>
                </c:pt>
                <c:pt idx="32">
                  <c:v>13.128454816627267</c:v>
                </c:pt>
                <c:pt idx="33">
                  <c:v>12.941383524476086</c:v>
                </c:pt>
                <c:pt idx="34">
                  <c:v>12.754312232324905</c:v>
                </c:pt>
                <c:pt idx="35">
                  <c:v>12.567240940173724</c:v>
                </c:pt>
                <c:pt idx="36">
                  <c:v>12.380169648022543</c:v>
                </c:pt>
                <c:pt idx="37">
                  <c:v>12.193098355871362</c:v>
                </c:pt>
                <c:pt idx="38">
                  <c:v>12.006027063720181</c:v>
                </c:pt>
                <c:pt idx="39">
                  <c:v>11.818955771569</c:v>
                </c:pt>
                <c:pt idx="40">
                  <c:v>11.631884479417819</c:v>
                </c:pt>
                <c:pt idx="41">
                  <c:v>11.444813187266638</c:v>
                </c:pt>
                <c:pt idx="42">
                  <c:v>11.257741895115457</c:v>
                </c:pt>
                <c:pt idx="43">
                  <c:v>11.070670602964276</c:v>
                </c:pt>
                <c:pt idx="44">
                  <c:v>10.883599310813095</c:v>
                </c:pt>
                <c:pt idx="45">
                  <c:v>10.696528018661914</c:v>
                </c:pt>
                <c:pt idx="46">
                  <c:v>10.509456726510733</c:v>
                </c:pt>
                <c:pt idx="47">
                  <c:v>10.322385434359552</c:v>
                </c:pt>
                <c:pt idx="48">
                  <c:v>10.135314142208371</c:v>
                </c:pt>
                <c:pt idx="49">
                  <c:v>9.9482428500571896</c:v>
                </c:pt>
                <c:pt idx="50">
                  <c:v>9.7611715579060245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B-078A-44EE-9022-EB23A388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627952"/>
        <c:axId val="728628432"/>
      </c:lineChart>
      <c:lineChart>
        <c:grouping val="standard"/>
        <c:varyColors val="0"/>
        <c:ser>
          <c:idx val="4"/>
          <c:order val="4"/>
          <c:tx>
            <c:v>BAU MJ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Fig_futuro_Kaya!$U$4:$U$54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1.320291028809577</c:v>
                </c:pt>
                <c:pt idx="25">
                  <c:v>1.3076162349330049</c:v>
                </c:pt>
                <c:pt idx="26">
                  <c:v>1.295063119077648</c:v>
                </c:pt>
                <c:pt idx="27">
                  <c:v>1.2826305131345026</c:v>
                </c:pt>
                <c:pt idx="28">
                  <c:v>1.2703172602084114</c:v>
                </c:pt>
                <c:pt idx="29">
                  <c:v>1.2581222145104105</c:v>
                </c:pt>
                <c:pt idx="30">
                  <c:v>1.2460442412511106</c:v>
                </c:pt>
                <c:pt idx="31">
                  <c:v>1.2340822165350998</c:v>
                </c:pt>
                <c:pt idx="32">
                  <c:v>1.2222350272563627</c:v>
                </c:pt>
                <c:pt idx="33">
                  <c:v>1.2105015709947016</c:v>
                </c:pt>
                <c:pt idx="34">
                  <c:v>1.1988807559131525</c:v>
                </c:pt>
                <c:pt idx="35">
                  <c:v>1.1873715006563861</c:v>
                </c:pt>
                <c:pt idx="36">
                  <c:v>1.1759727342500848</c:v>
                </c:pt>
                <c:pt idx="37">
                  <c:v>1.1646833960012839</c:v>
                </c:pt>
                <c:pt idx="38">
                  <c:v>1.1535024353996715</c:v>
                </c:pt>
                <c:pt idx="39">
                  <c:v>1.1424288120198345</c:v>
                </c:pt>
                <c:pt idx="40">
                  <c:v>1.131461495424444</c:v>
                </c:pt>
                <c:pt idx="41">
                  <c:v>1.1205994650683693</c:v>
                </c:pt>
                <c:pt idx="42">
                  <c:v>1.1098417102037128</c:v>
                </c:pt>
                <c:pt idx="43">
                  <c:v>1.099187229785757</c:v>
                </c:pt>
                <c:pt idx="44">
                  <c:v>1.0886350323798137</c:v>
                </c:pt>
                <c:pt idx="45">
                  <c:v>1.0781841360689675</c:v>
                </c:pt>
                <c:pt idx="46">
                  <c:v>1.0678335683627054</c:v>
                </c:pt>
                <c:pt idx="47">
                  <c:v>1.0575823661064234</c:v>
                </c:pt>
                <c:pt idx="48">
                  <c:v>1.0474295753918017</c:v>
                </c:pt>
                <c:pt idx="49">
                  <c:v>1.0373742514680404</c:v>
                </c:pt>
                <c:pt idx="50">
                  <c:v>1.0274154586539472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3-078A-44EE-9022-EB23A388F5E0}"/>
            </c:ext>
          </c:extLst>
        </c:ser>
        <c:ser>
          <c:idx val="5"/>
          <c:order val="5"/>
          <c:tx>
            <c:v>Moderada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Fig_futuro_Kaya!$V$4:$V$54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1.3197577933375215</c:v>
                </c:pt>
                <c:pt idx="25">
                  <c:v>1.3064269065361325</c:v>
                </c:pt>
                <c:pt idx="26">
                  <c:v>1.2930960197347434</c:v>
                </c:pt>
                <c:pt idx="27">
                  <c:v>1.2797651329333544</c:v>
                </c:pt>
                <c:pt idx="28">
                  <c:v>1.2664342461319653</c:v>
                </c:pt>
                <c:pt idx="29">
                  <c:v>1.2531033593305763</c:v>
                </c:pt>
                <c:pt idx="30">
                  <c:v>1.2397724725291872</c:v>
                </c:pt>
                <c:pt idx="31">
                  <c:v>1.2264415857277982</c:v>
                </c:pt>
                <c:pt idx="32">
                  <c:v>1.2131106989264091</c:v>
                </c:pt>
                <c:pt idx="33">
                  <c:v>1.1997798121250201</c:v>
                </c:pt>
                <c:pt idx="34">
                  <c:v>1.186448925323631</c:v>
                </c:pt>
                <c:pt idx="35">
                  <c:v>1.1731180385222419</c:v>
                </c:pt>
                <c:pt idx="36">
                  <c:v>1.1597871517208529</c:v>
                </c:pt>
                <c:pt idx="37">
                  <c:v>1.1464562649194638</c:v>
                </c:pt>
                <c:pt idx="38">
                  <c:v>1.1331253781180748</c:v>
                </c:pt>
                <c:pt idx="39">
                  <c:v>1.1197944913166857</c:v>
                </c:pt>
                <c:pt idx="40">
                  <c:v>1.1064636045152967</c:v>
                </c:pt>
                <c:pt idx="41">
                  <c:v>1.0931327177139076</c:v>
                </c:pt>
                <c:pt idx="42">
                  <c:v>1.0798018309125186</c:v>
                </c:pt>
                <c:pt idx="43">
                  <c:v>1.0664709441111295</c:v>
                </c:pt>
                <c:pt idx="44">
                  <c:v>1.0531400573097405</c:v>
                </c:pt>
                <c:pt idx="45">
                  <c:v>1.0398091705083514</c:v>
                </c:pt>
                <c:pt idx="46">
                  <c:v>1.0264782837069624</c:v>
                </c:pt>
                <c:pt idx="47">
                  <c:v>1.0131473969055733</c:v>
                </c:pt>
                <c:pt idx="48">
                  <c:v>0.99981651010418426</c:v>
                </c:pt>
                <c:pt idx="49">
                  <c:v>0.98648562330279521</c:v>
                </c:pt>
                <c:pt idx="50">
                  <c:v>0.97315473650140472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4-078A-44EE-9022-EB23A388F5E0}"/>
            </c:ext>
          </c:extLst>
        </c:ser>
        <c:ser>
          <c:idx val="6"/>
          <c:order val="6"/>
          <c:tx>
            <c:v>Ambiciosa pkm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Fig_futuro_Kaya!$W$4:$W$54</c:f>
              <c:numCache>
                <c:formatCode>_(* #,##0.000_);_(* \(#,##0.000\);_(* "-"??_);_(@_)</c:formatCode>
                <c:ptCount val="51"/>
                <c:pt idx="0">
                  <c:v>2.3981836259306344</c:v>
                </c:pt>
                <c:pt idx="1">
                  <c:v>2.4989303534527156</c:v>
                </c:pt>
                <c:pt idx="2">
                  <c:v>2.4706956041829455</c:v>
                </c:pt>
                <c:pt idx="3">
                  <c:v>2.1653050204452478</c:v>
                </c:pt>
                <c:pt idx="4">
                  <c:v>2.0090656913693619</c:v>
                </c:pt>
                <c:pt idx="5">
                  <c:v>1.893235501493953</c:v>
                </c:pt>
                <c:pt idx="6">
                  <c:v>1.838920966389882</c:v>
                </c:pt>
                <c:pt idx="7">
                  <c:v>1.8743780354672128</c:v>
                </c:pt>
                <c:pt idx="8">
                  <c:v>1.946799617735903</c:v>
                </c:pt>
                <c:pt idx="9">
                  <c:v>1.8883022487131862</c:v>
                </c:pt>
                <c:pt idx="10">
                  <c:v>1.744390847713674</c:v>
                </c:pt>
                <c:pt idx="11">
                  <c:v>1.6699677247102473</c:v>
                </c:pt>
                <c:pt idx="12">
                  <c:v>1.6710092628770161</c:v>
                </c:pt>
                <c:pt idx="13">
                  <c:v>1.6088142359940705</c:v>
                </c:pt>
                <c:pt idx="14">
                  <c:v>1.5472893619505879</c:v>
                </c:pt>
                <c:pt idx="15">
                  <c:v>1.4918136750640261</c:v>
                </c:pt>
                <c:pt idx="16">
                  <c:v>1.457097299332504</c:v>
                </c:pt>
                <c:pt idx="17">
                  <c:v>1.3910654463241039</c:v>
                </c:pt>
                <c:pt idx="18">
                  <c:v>1.3634744533088945</c:v>
                </c:pt>
                <c:pt idx="19">
                  <c:v>1.3459547989863381</c:v>
                </c:pt>
                <c:pt idx="20">
                  <c:v>1.4336063123226273</c:v>
                </c:pt>
                <c:pt idx="21">
                  <c:v>1.3779307105680929</c:v>
                </c:pt>
                <c:pt idx="22">
                  <c:v>1.3235534484341756</c:v>
                </c:pt>
                <c:pt idx="23">
                  <c:v>1.3330886801389106</c:v>
                </c:pt>
                <c:pt idx="24">
                  <c:v>1.3162522638453042</c:v>
                </c:pt>
                <c:pt idx="25">
                  <c:v>1.2994158475516979</c:v>
                </c:pt>
                <c:pt idx="26">
                  <c:v>1.2825794312580916</c:v>
                </c:pt>
                <c:pt idx="27">
                  <c:v>1.2657430149644853</c:v>
                </c:pt>
                <c:pt idx="28">
                  <c:v>1.2489065986708789</c:v>
                </c:pt>
                <c:pt idx="29">
                  <c:v>1.2320701823772726</c:v>
                </c:pt>
                <c:pt idx="30">
                  <c:v>1.2152337660836663</c:v>
                </c:pt>
                <c:pt idx="31">
                  <c:v>1.19839734979006</c:v>
                </c:pt>
                <c:pt idx="32">
                  <c:v>1.1815609334964536</c:v>
                </c:pt>
                <c:pt idx="33">
                  <c:v>1.1647245172028473</c:v>
                </c:pt>
                <c:pt idx="34">
                  <c:v>1.147888100909241</c:v>
                </c:pt>
                <c:pt idx="35">
                  <c:v>1.1310516846156347</c:v>
                </c:pt>
                <c:pt idx="36">
                  <c:v>1.1142152683220283</c:v>
                </c:pt>
                <c:pt idx="37">
                  <c:v>1.097378852028422</c:v>
                </c:pt>
                <c:pt idx="38">
                  <c:v>1.0805424357348157</c:v>
                </c:pt>
                <c:pt idx="39">
                  <c:v>1.0637060194412093</c:v>
                </c:pt>
                <c:pt idx="40">
                  <c:v>1.046869603147603</c:v>
                </c:pt>
                <c:pt idx="41">
                  <c:v>1.0300331868539967</c:v>
                </c:pt>
                <c:pt idx="42">
                  <c:v>1.0131967705603904</c:v>
                </c:pt>
                <c:pt idx="43">
                  <c:v>0.99636035426678415</c:v>
                </c:pt>
                <c:pt idx="44">
                  <c:v>0.97952393797317794</c:v>
                </c:pt>
                <c:pt idx="45">
                  <c:v>0.96268752167957172</c:v>
                </c:pt>
                <c:pt idx="46">
                  <c:v>0.94585110538596551</c:v>
                </c:pt>
                <c:pt idx="47">
                  <c:v>0.92901468909235929</c:v>
                </c:pt>
                <c:pt idx="48">
                  <c:v>0.91217827279875308</c:v>
                </c:pt>
                <c:pt idx="49">
                  <c:v>0.89534185650514686</c:v>
                </c:pt>
                <c:pt idx="50">
                  <c:v>0.87850544021154209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15-078A-44EE-9022-EB23A388F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34112"/>
        <c:axId val="2076153792"/>
      </c:lineChart>
      <c:catAx>
        <c:axId val="72862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8432"/>
        <c:crossesAt val="0"/>
        <c:auto val="1"/>
        <c:lblAlgn val="ctr"/>
        <c:lblOffset val="100"/>
        <c:tickLblSkip val="10"/>
        <c:tickMarkSkip val="10"/>
        <c:noMultiLvlLbl val="0"/>
      </c:catAx>
      <c:valAx>
        <c:axId val="72862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MJ</a:t>
                </a:r>
                <a:r>
                  <a:rPr lang="pt-BR" sz="1200" baseline="0">
                    <a:solidFill>
                      <a:sysClr val="windowText" lastClr="000000"/>
                    </a:solidFill>
                  </a:rPr>
                  <a:t> </a:t>
                </a:r>
                <a14:m xmlns:a14="http://schemas.microsoft.com/office/drawing/2010/main">
                  <m:oMath xmlns:m="http://schemas.openxmlformats.org/officeDocument/2006/math">
                    <m:r>
                      <a:rPr lang="pt-BR" sz="120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𝑡𝑘</m:t>
                    </m:r>
                    <m:sSubSup>
                      <m:sSubSupPr>
                        <m:ctrlP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  <m:sup>
                        <m:r>
                          <a:rPr lang="pt-BR" sz="12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bSup>
                  </m:oMath>
                </a14:m>
                <a:endParaRPr lang="pt-BR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3953488372093023E-2"/>
              <c:y val="0.447126207522736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728627952"/>
        <c:crosses val="autoZero"/>
        <c:crossBetween val="between"/>
      </c:valAx>
      <c:valAx>
        <c:axId val="20761537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i="0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MJ </a:t>
                </a:r>
                <a14:m xmlns:a14="http://schemas.microsoft.com/office/drawing/2010/main">
                  <m:oMath xmlns:m="http://schemas.openxmlformats.org/officeDocument/2006/math">
                    <m:r>
                      <a:rPr lang="pt-BR" sz="11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𝑝𝑘</m:t>
                    </m:r>
                    <m:sSubSup>
                      <m:sSubSupPr>
                        <m:ctrlPr>
                          <a:rPr lang="pt-BR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  <m:sup>
                        <m:r>
                          <a:rPr lang="pt-BR" sz="110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bSup>
                  </m:oMath>
                </a14:m>
                <a:endParaRPr lang="pt-BR" sz="1100" i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2076134112"/>
        <c:crosses val="max"/>
        <c:crossBetween val="between"/>
      </c:valAx>
      <c:catAx>
        <c:axId val="2076134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0761537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85640165098518E-2"/>
          <c:y val="3.2673575152092425E-2"/>
          <c:w val="0.9041961405533695"/>
          <c:h val="0.7754983017063285"/>
        </c:manualLayout>
      </c:layout>
      <c:lineChart>
        <c:grouping val="standard"/>
        <c:varyColors val="0"/>
        <c:ser>
          <c:idx val="1"/>
          <c:order val="0"/>
          <c:tx>
            <c:strRef>
              <c:f>'Potencial energético'!$B$2:$D$2</c:f>
              <c:strCache>
                <c:ptCount val="1"/>
                <c:pt idx="0">
                  <c:v>BAU-Base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energético'!$D$4:$D$54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 formatCode="0.00E+00">
                  <c:v>266521634998.54361</c:v>
                </c:pt>
                <c:pt idx="25" formatCode="0.00E+00">
                  <c:v>269622608280.5076</c:v>
                </c:pt>
                <c:pt idx="26" formatCode="0.00E+00">
                  <c:v>272759661317.48117</c:v>
                </c:pt>
                <c:pt idx="27" formatCode="0.00E+00">
                  <c:v>275933213896.60925</c:v>
                </c:pt>
                <c:pt idx="28" formatCode="0.00E+00">
                  <c:v>279143690689.25122</c:v>
                </c:pt>
                <c:pt idx="29" formatCode="0.00E+00">
                  <c:v>282391521307.80865</c:v>
                </c:pt>
                <c:pt idx="30" formatCode="0.00E+00">
                  <c:v>285677140363.21271</c:v>
                </c:pt>
                <c:pt idx="31" formatCode="0.00E+00">
                  <c:v>289000987523.08411</c:v>
                </c:pt>
                <c:pt idx="32" formatCode="0.00E+00">
                  <c:v>292363507570.5661</c:v>
                </c:pt>
                <c:pt idx="33" formatCode="0.00E+00">
                  <c:v>295765150463.84424</c:v>
                </c:pt>
                <c:pt idx="34" formatCode="0.00E+00">
                  <c:v>299206371396.35693</c:v>
                </c:pt>
                <c:pt idx="35" formatCode="0.00E+00">
                  <c:v>302687630857.7085</c:v>
                </c:pt>
                <c:pt idx="36" formatCode="0.00E+00">
                  <c:v>306209394695.28912</c:v>
                </c:pt>
                <c:pt idx="37" formatCode="0.00E+00">
                  <c:v>309772134176.61353</c:v>
                </c:pt>
                <c:pt idx="38" formatCode="0.00E+00">
                  <c:v>313376326052.38361</c:v>
                </c:pt>
                <c:pt idx="39" formatCode="0.00E+00">
                  <c:v>317022452620.28406</c:v>
                </c:pt>
                <c:pt idx="40" formatCode="0.00E+00">
                  <c:v>320711001789.5235</c:v>
                </c:pt>
                <c:pt idx="41" formatCode="0.00E+00">
                  <c:v>324442467146.12244</c:v>
                </c:pt>
                <c:pt idx="42" formatCode="0.00E+00">
                  <c:v>328217348018.96478</c:v>
                </c:pt>
                <c:pt idx="43" formatCode="0.00E+00">
                  <c:v>332036149546.61353</c:v>
                </c:pt>
                <c:pt idx="44" formatCode="0.00E+00">
                  <c:v>335899382744.90912</c:v>
                </c:pt>
                <c:pt idx="45" formatCode="0.00E+00">
                  <c:v>339807564575.3479</c:v>
                </c:pt>
                <c:pt idx="46" formatCode="0.00E+00">
                  <c:v>343761218014.26343</c:v>
                </c:pt>
                <c:pt idx="47" formatCode="0.00E+00">
                  <c:v>347760872122.8067</c:v>
                </c:pt>
                <c:pt idx="48" formatCode="0.00E+00">
                  <c:v>351807062117.7439</c:v>
                </c:pt>
                <c:pt idx="49" formatCode="0.00E+00">
                  <c:v>355900329443.07495</c:v>
                </c:pt>
                <c:pt idx="50" formatCode="0.00E+00">
                  <c:v>360041221842.48999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2-4D96-A158-EBE2996F8176}"/>
            </c:ext>
          </c:extLst>
        </c:ser>
        <c:ser>
          <c:idx val="2"/>
          <c:order val="1"/>
          <c:tx>
            <c:strRef>
              <c:f>'Potencial energético'!$F$2:$H$2</c:f>
              <c:strCache>
                <c:ptCount val="1"/>
                <c:pt idx="0">
                  <c:v>BAU-Moderada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energético'!$H$4:$H$54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266404026127.71768</c:v>
                </c:pt>
                <c:pt idx="25">
                  <c:v>269357014811.73999</c:v>
                </c:pt>
                <c:pt idx="26">
                  <c:v>272314164286.37155</c:v>
                </c:pt>
                <c:pt idx="27">
                  <c:v>275274295459.6087</c:v>
                </c:pt>
                <c:pt idx="28">
                  <c:v>278236176765.32428</c:v>
                </c:pt>
                <c:pt idx="29">
                  <c:v>281198522455.13037</c:v>
                </c:pt>
                <c:pt idx="30">
                  <c:v>284159990841.11523</c:v>
                </c:pt>
                <c:pt idx="31">
                  <c:v>287119182488.13702</c:v>
                </c:pt>
                <c:pt idx="32">
                  <c:v>290074638354.31274</c:v>
                </c:pt>
                <c:pt idx="33">
                  <c:v>293024837878.31769</c:v>
                </c:pt>
                <c:pt idx="34">
                  <c:v>295968197012.06451</c:v>
                </c:pt>
                <c:pt idx="35">
                  <c:v>298903066197.30414</c:v>
                </c:pt>
                <c:pt idx="36">
                  <c:v>301827728284.64294</c:v>
                </c:pt>
                <c:pt idx="37">
                  <c:v>304740396393.44189</c:v>
                </c:pt>
                <c:pt idx="38">
                  <c:v>307639211711.01489</c:v>
                </c:pt>
                <c:pt idx="39">
                  <c:v>310522241229.50934</c:v>
                </c:pt>
                <c:pt idx="40">
                  <c:v>313387475418.81079</c:v>
                </c:pt>
                <c:pt idx="41">
                  <c:v>316232825833.76221</c:v>
                </c:pt>
                <c:pt idx="42">
                  <c:v>319056122653.95905</c:v>
                </c:pt>
                <c:pt idx="43">
                  <c:v>321855112154.31989</c:v>
                </c:pt>
                <c:pt idx="44">
                  <c:v>324627454104.60541</c:v>
                </c:pt>
                <c:pt idx="45">
                  <c:v>327370719095.98987</c:v>
                </c:pt>
                <c:pt idx="46">
                  <c:v>330082385792.76593</c:v>
                </c:pt>
                <c:pt idx="47">
                  <c:v>332759838107.18842</c:v>
                </c:pt>
                <c:pt idx="48">
                  <c:v>335400362295.43323</c:v>
                </c:pt>
                <c:pt idx="49">
                  <c:v>338001143972.58228</c:v>
                </c:pt>
                <c:pt idx="50">
                  <c:v>340559265044.50433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D2-4D96-A158-EBE2996F8176}"/>
            </c:ext>
          </c:extLst>
        </c:ser>
        <c:ser>
          <c:idx val="3"/>
          <c:order val="2"/>
          <c:tx>
            <c:strRef>
              <c:f>'Potencial energético'!$J$2:$L$2</c:f>
              <c:strCache>
                <c:ptCount val="1"/>
                <c:pt idx="0">
                  <c:v>BAU-Acelerada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energético'!$L$4:$L$54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265706346385.52979</c:v>
                </c:pt>
                <c:pt idx="25">
                  <c:v>267931737690.5047</c:v>
                </c:pt>
                <c:pt idx="26">
                  <c:v>270130409961.70139</c:v>
                </c:pt>
                <c:pt idx="27">
                  <c:v>272300194412.81558</c:v>
                </c:pt>
                <c:pt idx="28">
                  <c:v>274438841539.43765</c:v>
                </c:pt>
                <c:pt idx="29">
                  <c:v>276544018654.7381</c:v>
                </c:pt>
                <c:pt idx="30">
                  <c:v>278613307356.58563</c:v>
                </c:pt>
                <c:pt idx="31">
                  <c:v>280644200924.29376</c:v>
                </c:pt>
                <c:pt idx="32">
                  <c:v>282634101643.1358</c:v>
                </c:pt>
                <c:pt idx="33">
                  <c:v>284580318054.73505</c:v>
                </c:pt>
                <c:pt idx="34">
                  <c:v>286480062131.37469</c:v>
                </c:pt>
                <c:pt idx="35">
                  <c:v>288330446372.23529</c:v>
                </c:pt>
                <c:pt idx="36">
                  <c:v>290128480819.50586</c:v>
                </c:pt>
                <c:pt idx="37">
                  <c:v>291871069992.271</c:v>
                </c:pt>
                <c:pt idx="38">
                  <c:v>293555009736.01752</c:v>
                </c:pt>
                <c:pt idx="39">
                  <c:v>295176983985.552</c:v>
                </c:pt>
                <c:pt idx="40">
                  <c:v>296733561439.06781</c:v>
                </c:pt>
                <c:pt idx="41">
                  <c:v>298221192141.03375</c:v>
                </c:pt>
                <c:pt idx="42">
                  <c:v>299636203971.52966</c:v>
                </c:pt>
                <c:pt idx="43">
                  <c:v>300974799039.58185</c:v>
                </c:pt>
                <c:pt idx="44">
                  <c:v>302233049978.00305</c:v>
                </c:pt>
                <c:pt idx="45">
                  <c:v>303406896137.16187</c:v>
                </c:pt>
                <c:pt idx="46">
                  <c:v>304492139675.06226</c:v>
                </c:pt>
                <c:pt idx="47">
                  <c:v>305484441541.02545</c:v>
                </c:pt>
                <c:pt idx="48">
                  <c:v>306379317350.21649</c:v>
                </c:pt>
                <c:pt idx="49">
                  <c:v>307172133146.17664</c:v>
                </c:pt>
                <c:pt idx="50">
                  <c:v>307858101048.46143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D2-4D96-A158-EBE2996F8176}"/>
            </c:ext>
          </c:extLst>
        </c:ser>
        <c:ser>
          <c:idx val="4"/>
          <c:order val="3"/>
          <c:tx>
            <c:strRef>
              <c:f>'Potencial energético'!$N$2:$P$2</c:f>
              <c:strCache>
                <c:ptCount val="1"/>
                <c:pt idx="0">
                  <c:v>Retração-Base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energético'!$P$4:$P$54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266521634998.54361</c:v>
                </c:pt>
                <c:pt idx="25">
                  <c:v>268256545095.88449</c:v>
                </c:pt>
                <c:pt idx="26">
                  <c:v>270002748509.229</c:v>
                </c:pt>
                <c:pt idx="27">
                  <c:v>271760318751.88834</c:v>
                </c:pt>
                <c:pt idx="28">
                  <c:v>273529329815.70602</c:v>
                </c:pt>
                <c:pt idx="29">
                  <c:v>275309856174.17114</c:v>
                </c:pt>
                <c:pt idx="30">
                  <c:v>277101972785.55493</c:v>
                </c:pt>
                <c:pt idx="31">
                  <c:v>278905755096.06519</c:v>
                </c:pt>
                <c:pt idx="32">
                  <c:v>280721279043.0246</c:v>
                </c:pt>
                <c:pt idx="33">
                  <c:v>282548621058.06525</c:v>
                </c:pt>
                <c:pt idx="34">
                  <c:v>284387858070.34796</c:v>
                </c:pt>
                <c:pt idx="35">
                  <c:v>286239067509.79932</c:v>
                </c:pt>
                <c:pt idx="36">
                  <c:v>288102327310.37378</c:v>
                </c:pt>
                <c:pt idx="37">
                  <c:v>289977715913.3324</c:v>
                </c:pt>
                <c:pt idx="38">
                  <c:v>291865312270.54578</c:v>
                </c:pt>
                <c:pt idx="39">
                  <c:v>293765195847.81879</c:v>
                </c:pt>
                <c:pt idx="40">
                  <c:v>295677446628.23468</c:v>
                </c:pt>
                <c:pt idx="41">
                  <c:v>297602145115.52289</c:v>
                </c:pt>
                <c:pt idx="42">
                  <c:v>299539372337.44788</c:v>
                </c:pt>
                <c:pt idx="43">
                  <c:v>301489209849.22131</c:v>
                </c:pt>
                <c:pt idx="44">
                  <c:v>303451739736.93433</c:v>
                </c:pt>
                <c:pt idx="45">
                  <c:v>305427044621.01306</c:v>
                </c:pt>
                <c:pt idx="46">
                  <c:v>307415207659.69757</c:v>
                </c:pt>
                <c:pt idx="47">
                  <c:v>309416312552.5437</c:v>
                </c:pt>
                <c:pt idx="48">
                  <c:v>311430443543.94446</c:v>
                </c:pt>
                <c:pt idx="49">
                  <c:v>313457685426.67816</c:v>
                </c:pt>
                <c:pt idx="50">
                  <c:v>315498123545.47754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D2-4D96-A158-EBE2996F8176}"/>
            </c:ext>
          </c:extLst>
        </c:ser>
        <c:ser>
          <c:idx val="5"/>
          <c:order val="4"/>
          <c:tx>
            <c:strRef>
              <c:f>'Potencial energético'!$R$2:$T$2</c:f>
              <c:strCache>
                <c:ptCount val="1"/>
                <c:pt idx="0">
                  <c:v>Retração-Moderada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energético'!$T$4:$T$54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266404026127.71768</c:v>
                </c:pt>
                <c:pt idx="25">
                  <c:v>267992297276.36371</c:v>
                </c:pt>
                <c:pt idx="26">
                  <c:v>269561754330.42963</c:v>
                </c:pt>
                <c:pt idx="27">
                  <c:v>271111365036.08862</c:v>
                </c:pt>
                <c:pt idx="28">
                  <c:v>272640068536.69507</c:v>
                </c:pt>
                <c:pt idx="29">
                  <c:v>274146774715.40173</c:v>
                </c:pt>
                <c:pt idx="30">
                  <c:v>275630363523.96204</c:v>
                </c:pt>
                <c:pt idx="31">
                  <c:v>277089684297.43658</c:v>
                </c:pt>
                <c:pt idx="32">
                  <c:v>278523555054.52795</c:v>
                </c:pt>
                <c:pt idx="33">
                  <c:v>279930761783.25104</c:v>
                </c:pt>
                <c:pt idx="34">
                  <c:v>281310057711.65411</c:v>
                </c:pt>
                <c:pt idx="35">
                  <c:v>282660162563.28717</c:v>
                </c:pt>
                <c:pt idx="36">
                  <c:v>283979761797.12085</c:v>
                </c:pt>
                <c:pt idx="37">
                  <c:v>285267505831.59845</c:v>
                </c:pt>
                <c:pt idx="38">
                  <c:v>286522009252.51404</c:v>
                </c:pt>
                <c:pt idx="39">
                  <c:v>287741850004.39264</c:v>
                </c:pt>
                <c:pt idx="40">
                  <c:v>288925568565.04309</c:v>
                </c:pt>
                <c:pt idx="41">
                  <c:v>290071667102.95422</c:v>
                </c:pt>
                <c:pt idx="42">
                  <c:v>291178608617.19153</c:v>
                </c:pt>
                <c:pt idx="43">
                  <c:v>292244816059.45099</c:v>
                </c:pt>
                <c:pt idx="44">
                  <c:v>293268671437.91235</c:v>
                </c:pt>
                <c:pt idx="45">
                  <c:v>294248514902.53687</c:v>
                </c:pt>
                <c:pt idx="46">
                  <c:v>295182643811.44135</c:v>
                </c:pt>
                <c:pt idx="47">
                  <c:v>296069311777.97473</c:v>
                </c:pt>
                <c:pt idx="48">
                  <c:v>296906727698.11389</c:v>
                </c:pt>
                <c:pt idx="49">
                  <c:v>297693054757.79633</c:v>
                </c:pt>
                <c:pt idx="50">
                  <c:v>298426409419.78918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D2-4D96-A158-EBE2996F8176}"/>
            </c:ext>
          </c:extLst>
        </c:ser>
        <c:ser>
          <c:idx val="6"/>
          <c:order val="5"/>
          <c:tx>
            <c:strRef>
              <c:f>'Potencial energético'!$V$2:$X$2</c:f>
              <c:strCache>
                <c:ptCount val="1"/>
                <c:pt idx="0">
                  <c:v>Retração-Acelerada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energético'!$X$4:$X$54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265706346385.52979</c:v>
                </c:pt>
                <c:pt idx="25">
                  <c:v>266574241428.65448</c:v>
                </c:pt>
                <c:pt idx="26">
                  <c:v>267400072258.8143</c:v>
                </c:pt>
                <c:pt idx="27">
                  <c:v>268182240857.58481</c:v>
                </c:pt>
                <c:pt idx="28">
                  <c:v>268919108349.99814</c:v>
                </c:pt>
                <c:pt idx="29">
                  <c:v>269608994098.21609</c:v>
                </c:pt>
                <c:pt idx="30">
                  <c:v>270250174776.53183</c:v>
                </c:pt>
                <c:pt idx="31">
                  <c:v>270840883427.3269</c:v>
                </c:pt>
                <c:pt idx="32">
                  <c:v>271379308497.61447</c:v>
                </c:pt>
                <c:pt idx="33">
                  <c:v>271863592855.77985</c:v>
                </c:pt>
                <c:pt idx="34">
                  <c:v>272291832788.13635</c:v>
                </c:pt>
                <c:pt idx="35">
                  <c:v>272662076974.89404</c:v>
                </c:pt>
                <c:pt idx="36">
                  <c:v>272972325445.14322</c:v>
                </c:pt>
                <c:pt idx="37">
                  <c:v>273220528510.43298</c:v>
                </c:pt>
                <c:pt idx="38">
                  <c:v>273404585676.53238</c:v>
                </c:pt>
                <c:pt idx="39">
                  <c:v>273522344532.9437</c:v>
                </c:pt>
                <c:pt idx="40">
                  <c:v>273571599619.7298</c:v>
                </c:pt>
                <c:pt idx="41">
                  <c:v>273550091271.21558</c:v>
                </c:pt>
                <c:pt idx="42">
                  <c:v>273455504436.10764</c:v>
                </c:pt>
                <c:pt idx="43">
                  <c:v>273285467473.57376</c:v>
                </c:pt>
                <c:pt idx="44">
                  <c:v>273037550924.80847</c:v>
                </c:pt>
                <c:pt idx="45">
                  <c:v>272709266259.6095</c:v>
                </c:pt>
                <c:pt idx="46">
                  <c:v>272298064597.47595</c:v>
                </c:pt>
                <c:pt idx="47">
                  <c:v>271801335402.73093</c:v>
                </c:pt>
                <c:pt idx="48">
                  <c:v>271216405153.1597</c:v>
                </c:pt>
                <c:pt idx="49">
                  <c:v>270540535981.65176</c:v>
                </c:pt>
                <c:pt idx="50">
                  <c:v>269770924290.31702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D2-4D96-A158-EBE2996F8176}"/>
            </c:ext>
          </c:extLst>
        </c:ser>
        <c:ser>
          <c:idx val="7"/>
          <c:order val="6"/>
          <c:tx>
            <c:strRef>
              <c:f>'Potencial energético'!$Z$2:$AB$2</c:f>
              <c:strCache>
                <c:ptCount val="1"/>
                <c:pt idx="0">
                  <c:v>Conexões-Base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energético'!$AB$4:$AB$54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266521634998.54361</c:v>
                </c:pt>
                <c:pt idx="25">
                  <c:v>271968346783.3978</c:v>
                </c:pt>
                <c:pt idx="26">
                  <c:v>277526369116.33356</c:v>
                </c:pt>
                <c:pt idx="27">
                  <c:v>283197976771.3067</c:v>
                </c:pt>
                <c:pt idx="28">
                  <c:v>288985491010.19989</c:v>
                </c:pt>
                <c:pt idx="29">
                  <c:v>294891280532.86176</c:v>
                </c:pt>
                <c:pt idx="30">
                  <c:v>300917762446.56403</c:v>
                </c:pt>
                <c:pt idx="31">
                  <c:v>307067403255.26837</c:v>
                </c:pt>
                <c:pt idx="32">
                  <c:v>313342719869.11169</c:v>
                </c:pt>
                <c:pt idx="33">
                  <c:v>319746280634.52081</c:v>
                </c:pt>
                <c:pt idx="34">
                  <c:v>326280706385.37909</c:v>
                </c:pt>
                <c:pt idx="35">
                  <c:v>332948671515.67517</c:v>
                </c:pt>
                <c:pt idx="36">
                  <c:v>339752905074.07239</c:v>
                </c:pt>
                <c:pt idx="37">
                  <c:v>346696191880.84698</c:v>
                </c:pt>
                <c:pt idx="38">
                  <c:v>353781373667.65314</c:v>
                </c:pt>
                <c:pt idx="39">
                  <c:v>361011350240.57965</c:v>
                </c:pt>
                <c:pt idx="40">
                  <c:v>368389080666.97528</c:v>
                </c:pt>
                <c:pt idx="41">
                  <c:v>375917584486.5296</c:v>
                </c:pt>
                <c:pt idx="42">
                  <c:v>383599942947.10211</c:v>
                </c:pt>
                <c:pt idx="43">
                  <c:v>391439300265.80835</c:v>
                </c:pt>
                <c:pt idx="44">
                  <c:v>399438864915.87689</c:v>
                </c:pt>
                <c:pt idx="45">
                  <c:v>407601910939.80658</c:v>
                </c:pt>
                <c:pt idx="46">
                  <c:v>415931779289.35754</c:v>
                </c:pt>
                <c:pt idx="47">
                  <c:v>424431879192.92853</c:v>
                </c:pt>
                <c:pt idx="48">
                  <c:v>433105689550.87762</c:v>
                </c:pt>
                <c:pt idx="49">
                  <c:v>441956760359.35846</c:v>
                </c:pt>
                <c:pt idx="50">
                  <c:v>450988714163.25299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D2-4D96-A158-EBE2996F8176}"/>
            </c:ext>
          </c:extLst>
        </c:ser>
        <c:ser>
          <c:idx val="8"/>
          <c:order val="7"/>
          <c:tx>
            <c:strRef>
              <c:f>'Potencial energético'!$AD$2:$AF$2</c:f>
              <c:strCache>
                <c:ptCount val="1"/>
                <c:pt idx="0">
                  <c:v>Conexões-Moderada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energético'!$AF$4:$AF$54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266404026127.71768</c:v>
                </c:pt>
                <c:pt idx="25">
                  <c:v>271700442629.96701</c:v>
                </c:pt>
                <c:pt idx="26">
                  <c:v>277073086644.50922</c:v>
                </c:pt>
                <c:pt idx="27">
                  <c:v>282521710345.88904</c:v>
                </c:pt>
                <c:pt idx="28">
                  <c:v>288045980766.36432</c:v>
                </c:pt>
                <c:pt idx="29">
                  <c:v>293645474859.54962</c:v>
                </c:pt>
                <c:pt idx="30">
                  <c:v>299319674342.95874</c:v>
                </c:pt>
                <c:pt idx="31">
                  <c:v>305067960310.57001</c:v>
                </c:pt>
                <c:pt idx="32">
                  <c:v>310889607606.21271</c:v>
                </c:pt>
                <c:pt idx="33">
                  <c:v>316783778948.22015</c:v>
                </c:pt>
                <c:pt idx="34">
                  <c:v>322749518795.43848</c:v>
                </c:pt>
                <c:pt idx="35">
                  <c:v>328785746944.30688</c:v>
                </c:pt>
                <c:pt idx="36">
                  <c:v>334891251846.33948</c:v>
                </c:pt>
                <c:pt idx="37">
                  <c:v>341064683634.9375</c:v>
                </c:pt>
                <c:pt idx="38">
                  <c:v>347304546850.05072</c:v>
                </c:pt>
                <c:pt idx="39">
                  <c:v>353609192848.77026</c:v>
                </c:pt>
                <c:pt idx="40">
                  <c:v>359976811889.49878</c:v>
                </c:pt>
                <c:pt idx="41">
                  <c:v>366405424876.87732</c:v>
                </c:pt>
                <c:pt idx="42">
                  <c:v>372892874754.17206</c:v>
                </c:pt>
                <c:pt idx="43">
                  <c:v>379436817529.3316</c:v>
                </c:pt>
                <c:pt idx="44">
                  <c:v>386034712920.4118</c:v>
                </c:pt>
                <c:pt idx="45">
                  <c:v>392683814605.53448</c:v>
                </c:pt>
                <c:pt idx="46">
                  <c:v>399381160061.99615</c:v>
                </c:pt>
                <c:pt idx="47">
                  <c:v>406123559978.57611</c:v>
                </c:pt>
                <c:pt idx="48">
                  <c:v>412907587224.50098</c:v>
                </c:pt>
                <c:pt idx="49">
                  <c:v>419729565357.91205</c:v>
                </c:pt>
                <c:pt idx="50">
                  <c:v>426585556656.05139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D2-4D96-A158-EBE2996F8176}"/>
            </c:ext>
          </c:extLst>
        </c:ser>
        <c:ser>
          <c:idx val="9"/>
          <c:order val="8"/>
          <c:tx>
            <c:strRef>
              <c:f>'Potencial energético'!$AH$2:$AJ$2</c:f>
              <c:strCache>
                <c:ptCount val="1"/>
                <c:pt idx="0">
                  <c:v>Conexões-Acelerada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'Potencial energético'!$AJ$4:$AJ$54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>
                  <c:v>265706346385.52979</c:v>
                </c:pt>
                <c:pt idx="25">
                  <c:v>270262765482.48059</c:v>
                </c:pt>
                <c:pt idx="26">
                  <c:v>274851169349.84595</c:v>
                </c:pt>
                <c:pt idx="27">
                  <c:v>279469307239.82141</c:v>
                </c:pt>
                <c:pt idx="28">
                  <c:v>284114762467.73975</c:v>
                </c:pt>
                <c:pt idx="29">
                  <c:v>288784944417.32489</c:v>
                </c:pt>
                <c:pt idx="30">
                  <c:v>293477080213.64948</c:v>
                </c:pt>
                <c:pt idx="31">
                  <c:v>298188206050.98883</c:v>
                </c:pt>
                <c:pt idx="32">
                  <c:v>302915158162.30109</c:v>
                </c:pt>
                <c:pt idx="33">
                  <c:v>307654563416.57123</c:v>
                </c:pt>
                <c:pt idx="34">
                  <c:v>312402829529.75354</c:v>
                </c:pt>
                <c:pt idx="35">
                  <c:v>317156134874.5235</c:v>
                </c:pt>
                <c:pt idx="36">
                  <c:v>321910417873.50781</c:v>
                </c:pt>
                <c:pt idx="37">
                  <c:v>326661365960.10181</c:v>
                </c:pt>
                <c:pt idx="38">
                  <c:v>331404404090.40155</c:v>
                </c:pt>
                <c:pt idx="39">
                  <c:v>336134682789.177</c:v>
                </c:pt>
                <c:pt idx="40">
                  <c:v>340847065712.18878</c:v>
                </c:pt>
                <c:pt idx="41">
                  <c:v>345536116706.51007</c:v>
                </c:pt>
                <c:pt idx="42">
                  <c:v>350196086349.84052</c:v>
                </c:pt>
                <c:pt idx="43">
                  <c:v>354820897949.11554</c:v>
                </c:pt>
                <c:pt idx="44">
                  <c:v>359404132977.99292</c:v>
                </c:pt>
                <c:pt idx="45">
                  <c:v>363939015932.06165</c:v>
                </c:pt>
                <c:pt idx="46">
                  <c:v>368418398579.84601</c:v>
                </c:pt>
                <c:pt idx="47">
                  <c:v>372834743586.88965</c:v>
                </c:pt>
                <c:pt idx="48">
                  <c:v>377180107489.37738</c:v>
                </c:pt>
                <c:pt idx="49">
                  <c:v>381446122992.90259</c:v>
                </c:pt>
                <c:pt idx="50">
                  <c:v>385623980571.10828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D2-4D96-A158-EBE2996F8176}"/>
            </c:ext>
          </c:extLst>
        </c:ser>
        <c:ser>
          <c:idx val="0"/>
          <c:order val="9"/>
          <c:tx>
            <c:v>Histórico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7D2-4D96-A158-EBE2996F8176}"/>
              </c:ext>
            </c:extLst>
          </c:dPt>
          <c:dPt>
            <c:idx val="2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E7D2-4D96-A158-EBE2996F8176}"/>
              </c:ext>
            </c:extLst>
          </c:dPt>
          <c:dPt>
            <c:idx val="2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7D2-4D96-A158-EBE2996F8176}"/>
              </c:ext>
            </c:extLst>
          </c:dPt>
          <c:dPt>
            <c:idx val="2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E7D2-4D96-A158-EBE2996F8176}"/>
              </c:ext>
            </c:extLst>
          </c:dPt>
          <c:dPt>
            <c:idx val="2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7D2-4D96-A158-EBE2996F8176}"/>
              </c:ext>
            </c:extLst>
          </c:dPt>
          <c:dPt>
            <c:idx val="2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E7D2-4D96-A158-EBE2996F8176}"/>
              </c:ext>
            </c:extLst>
          </c:dPt>
          <c:dPt>
            <c:idx val="3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7D2-4D96-A158-EBE2996F8176}"/>
              </c:ext>
            </c:extLst>
          </c:dPt>
          <c:dPt>
            <c:idx val="3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E7D2-4D96-A158-EBE2996F8176}"/>
              </c:ext>
            </c:extLst>
          </c:dPt>
          <c:dPt>
            <c:idx val="3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7D2-4D96-A158-EBE2996F8176}"/>
              </c:ext>
            </c:extLst>
          </c:dPt>
          <c:dPt>
            <c:idx val="3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E7D2-4D96-A158-EBE2996F8176}"/>
              </c:ext>
            </c:extLst>
          </c:dPt>
          <c:dPt>
            <c:idx val="3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7D2-4D96-A158-EBE2996F8176}"/>
              </c:ext>
            </c:extLst>
          </c:dPt>
          <c:dPt>
            <c:idx val="3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E7D2-4D96-A158-EBE2996F8176}"/>
              </c:ext>
            </c:extLst>
          </c:dPt>
          <c:dPt>
            <c:idx val="3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7D2-4D96-A158-EBE2996F8176}"/>
              </c:ext>
            </c:extLst>
          </c:dPt>
          <c:dPt>
            <c:idx val="3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E7D2-4D96-A158-EBE2996F8176}"/>
              </c:ext>
            </c:extLst>
          </c:dPt>
          <c:dPt>
            <c:idx val="3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7D2-4D96-A158-EBE2996F8176}"/>
              </c:ext>
            </c:extLst>
          </c:dPt>
          <c:dPt>
            <c:idx val="3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E7D2-4D96-A158-EBE2996F8176}"/>
              </c:ext>
            </c:extLst>
          </c:dPt>
          <c:dPt>
            <c:idx val="4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7D2-4D96-A158-EBE2996F8176}"/>
              </c:ext>
            </c:extLst>
          </c:dPt>
          <c:dPt>
            <c:idx val="4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E7D2-4D96-A158-EBE2996F8176}"/>
              </c:ext>
            </c:extLst>
          </c:dPt>
          <c:dPt>
            <c:idx val="42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7D2-4D96-A158-EBE2996F8176}"/>
              </c:ext>
            </c:extLst>
          </c:dPt>
          <c:dPt>
            <c:idx val="43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E7D2-4D96-A158-EBE2996F8176}"/>
              </c:ext>
            </c:extLst>
          </c:dPt>
          <c:dPt>
            <c:idx val="44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7D2-4D96-A158-EBE2996F8176}"/>
              </c:ext>
            </c:extLst>
          </c:dPt>
          <c:dPt>
            <c:idx val="45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7D2-4D96-A158-EBE2996F8176}"/>
              </c:ext>
            </c:extLst>
          </c:dPt>
          <c:dPt>
            <c:idx val="46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7D2-4D96-A158-EBE2996F8176}"/>
              </c:ext>
            </c:extLst>
          </c:dPt>
          <c:dPt>
            <c:idx val="47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E7D2-4D96-A158-EBE2996F8176}"/>
              </c:ext>
            </c:extLst>
          </c:dPt>
          <c:dPt>
            <c:idx val="48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7D2-4D96-A158-EBE2996F8176}"/>
              </c:ext>
            </c:extLst>
          </c:dPt>
          <c:dPt>
            <c:idx val="49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E7D2-4D96-A158-EBE2996F8176}"/>
              </c:ext>
            </c:extLst>
          </c:dPt>
          <c:dPt>
            <c:idx val="5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7D2-4D96-A158-EBE2996F8176}"/>
              </c:ext>
            </c:extLst>
          </c:dPt>
          <c:cat>
            <c:numRef>
              <c:f>'Potencial energético'!$A$4:$A$54</c:f>
              <c:numCache>
                <c:formatCode>General</c:formatCode>
                <c:ptCount val="5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</c:numCache>
            </c:numRef>
          </c:cat>
          <c:val>
            <c:numRef>
              <c:f>'Potencial energético'!$D$4:$D$54</c:f>
              <c:numCache>
                <c:formatCode>General</c:formatCode>
                <c:ptCount val="51"/>
                <c:pt idx="0">
                  <c:v>180089780500</c:v>
                </c:pt>
                <c:pt idx="1">
                  <c:v>181335268500</c:v>
                </c:pt>
                <c:pt idx="2">
                  <c:v>181529876000</c:v>
                </c:pt>
                <c:pt idx="3">
                  <c:v>156931488000</c:v>
                </c:pt>
                <c:pt idx="4">
                  <c:v>164443337500</c:v>
                </c:pt>
                <c:pt idx="5">
                  <c:v>173790967816.54138</c:v>
                </c:pt>
                <c:pt idx="6">
                  <c:v>173784497500</c:v>
                </c:pt>
                <c:pt idx="7">
                  <c:v>190389956724.23248</c:v>
                </c:pt>
                <c:pt idx="8">
                  <c:v>209593329548.14496</c:v>
                </c:pt>
                <c:pt idx="9">
                  <c:v>213118565400</c:v>
                </c:pt>
                <c:pt idx="10">
                  <c:v>244552052876.14581</c:v>
                </c:pt>
                <c:pt idx="11">
                  <c:v>271646966683.38046</c:v>
                </c:pt>
                <c:pt idx="12">
                  <c:v>284931184954.5</c:v>
                </c:pt>
                <c:pt idx="13">
                  <c:v>283678496477.00006</c:v>
                </c:pt>
                <c:pt idx="14">
                  <c:v>291531998904</c:v>
                </c:pt>
                <c:pt idx="15">
                  <c:v>282385743003.29834</c:v>
                </c:pt>
                <c:pt idx="16">
                  <c:v>264435512269.50006</c:v>
                </c:pt>
                <c:pt idx="17">
                  <c:v>260547526870</c:v>
                </c:pt>
                <c:pt idx="18">
                  <c:v>278841682750.5</c:v>
                </c:pt>
                <c:pt idx="19">
                  <c:v>271702273084</c:v>
                </c:pt>
                <c:pt idx="20">
                  <c:v>138015639000</c:v>
                </c:pt>
                <c:pt idx="21">
                  <c:v>170673813377</c:v>
                </c:pt>
                <c:pt idx="22">
                  <c:v>233382018783.14008</c:v>
                </c:pt>
                <c:pt idx="23">
                  <c:v>261525681535.6409</c:v>
                </c:pt>
                <c:pt idx="24" formatCode="0.00E+00">
                  <c:v>266521634998.54361</c:v>
                </c:pt>
                <c:pt idx="25" formatCode="0.00E+00">
                  <c:v>269622608280.5076</c:v>
                </c:pt>
                <c:pt idx="26" formatCode="0.00E+00">
                  <c:v>272759661317.48117</c:v>
                </c:pt>
                <c:pt idx="27" formatCode="0.00E+00">
                  <c:v>275933213896.60925</c:v>
                </c:pt>
                <c:pt idx="28" formatCode="0.00E+00">
                  <c:v>279143690689.25122</c:v>
                </c:pt>
                <c:pt idx="29" formatCode="0.00E+00">
                  <c:v>282391521307.80865</c:v>
                </c:pt>
                <c:pt idx="30" formatCode="0.00E+00">
                  <c:v>285677140363.21271</c:v>
                </c:pt>
                <c:pt idx="31" formatCode="0.00E+00">
                  <c:v>289000987523.08411</c:v>
                </c:pt>
                <c:pt idx="32" formatCode="0.00E+00">
                  <c:v>292363507570.5661</c:v>
                </c:pt>
                <c:pt idx="33" formatCode="0.00E+00">
                  <c:v>295765150463.84424</c:v>
                </c:pt>
                <c:pt idx="34" formatCode="0.00E+00">
                  <c:v>299206371396.35693</c:v>
                </c:pt>
                <c:pt idx="35" formatCode="0.00E+00">
                  <c:v>302687630857.7085</c:v>
                </c:pt>
                <c:pt idx="36" formatCode="0.00E+00">
                  <c:v>306209394695.28912</c:v>
                </c:pt>
                <c:pt idx="37" formatCode="0.00E+00">
                  <c:v>309772134176.61353</c:v>
                </c:pt>
                <c:pt idx="38" formatCode="0.00E+00">
                  <c:v>313376326052.38361</c:v>
                </c:pt>
                <c:pt idx="39" formatCode="0.00E+00">
                  <c:v>317022452620.28406</c:v>
                </c:pt>
                <c:pt idx="40" formatCode="0.00E+00">
                  <c:v>320711001789.5235</c:v>
                </c:pt>
                <c:pt idx="41" formatCode="0.00E+00">
                  <c:v>324442467146.12244</c:v>
                </c:pt>
                <c:pt idx="42" formatCode="0.00E+00">
                  <c:v>328217348018.96478</c:v>
                </c:pt>
                <c:pt idx="43" formatCode="0.00E+00">
                  <c:v>332036149546.61353</c:v>
                </c:pt>
                <c:pt idx="44" formatCode="0.00E+00">
                  <c:v>335899382744.90912</c:v>
                </c:pt>
                <c:pt idx="45" formatCode="0.00E+00">
                  <c:v>339807564575.3479</c:v>
                </c:pt>
                <c:pt idx="46" formatCode="0.00E+00">
                  <c:v>343761218014.26343</c:v>
                </c:pt>
                <c:pt idx="47" formatCode="0.00E+00">
                  <c:v>347760872122.8067</c:v>
                </c:pt>
                <c:pt idx="48" formatCode="0.00E+00">
                  <c:v>351807062117.7439</c:v>
                </c:pt>
                <c:pt idx="49" formatCode="0.00E+00">
                  <c:v>355900329443.07495</c:v>
                </c:pt>
                <c:pt idx="50" formatCode="0.00E+00">
                  <c:v>360041221842.48999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2-4D96-A158-EBE2996F8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260080"/>
        <c:axId val="2091244240"/>
      </c:lineChart>
      <c:catAx>
        <c:axId val="209126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1244240"/>
        <c:crosses val="autoZero"/>
        <c:auto val="1"/>
        <c:lblAlgn val="ctr"/>
        <c:lblOffset val="100"/>
        <c:tickLblSkip val="5"/>
        <c:noMultiLvlLbl val="0"/>
      </c:catAx>
      <c:valAx>
        <c:axId val="2091244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126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'Preços Produtor Importador'!$I$371:$I$632</c:f>
              <c:numCache>
                <c:formatCode>####0.00000</c:formatCode>
                <c:ptCount val="262"/>
                <c:pt idx="0">
                  <c:v>2.3756300000000001</c:v>
                </c:pt>
                <c:pt idx="1">
                  <c:v>2.38191</c:v>
                </c:pt>
                <c:pt idx="2">
                  <c:v>2.3834499999999998</c:v>
                </c:pt>
                <c:pt idx="3">
                  <c:v>2.3781599999999998</c:v>
                </c:pt>
                <c:pt idx="4">
                  <c:v>2.3881600000000001</c:v>
                </c:pt>
                <c:pt idx="5">
                  <c:v>2.4021400000000002</c:v>
                </c:pt>
                <c:pt idx="6">
                  <c:v>2.40387</c:v>
                </c:pt>
                <c:pt idx="7">
                  <c:v>2.3364400000000001</c:v>
                </c:pt>
                <c:pt idx="8">
                  <c:v>2.1117900000000001</c:v>
                </c:pt>
                <c:pt idx="9">
                  <c:v>2.1146500000000001</c:v>
                </c:pt>
                <c:pt idx="10">
                  <c:v>2.11903</c:v>
                </c:pt>
                <c:pt idx="11">
                  <c:v>2.10107</c:v>
                </c:pt>
                <c:pt idx="12">
                  <c:v>1.7659100000000001</c:v>
                </c:pt>
                <c:pt idx="13">
                  <c:v>1.74692</c:v>
                </c:pt>
                <c:pt idx="14">
                  <c:v>1.7537</c:v>
                </c:pt>
                <c:pt idx="15">
                  <c:v>1.7507699999999999</c:v>
                </c:pt>
                <c:pt idx="16">
                  <c:v>1.3730500000000001</c:v>
                </c:pt>
                <c:pt idx="17">
                  <c:v>1.2595000000000001</c:v>
                </c:pt>
                <c:pt idx="18">
                  <c:v>1.2739199999999999</c:v>
                </c:pt>
                <c:pt idx="19">
                  <c:v>1.2646999999999999</c:v>
                </c:pt>
                <c:pt idx="20">
                  <c:v>1.3413600000000001</c:v>
                </c:pt>
                <c:pt idx="21">
                  <c:v>1.4118599999999999</c:v>
                </c:pt>
                <c:pt idx="22">
                  <c:v>1.38632</c:v>
                </c:pt>
                <c:pt idx="23">
                  <c:v>1.3773899999999999</c:v>
                </c:pt>
                <c:pt idx="24">
                  <c:v>1.40896</c:v>
                </c:pt>
                <c:pt idx="25">
                  <c:v>1.55419</c:v>
                </c:pt>
                <c:pt idx="26">
                  <c:v>1.6504300000000001</c:v>
                </c:pt>
                <c:pt idx="27">
                  <c:v>1.6690499999999999</c:v>
                </c:pt>
                <c:pt idx="28">
                  <c:v>1.6513199999999999</c:v>
                </c:pt>
                <c:pt idx="29">
                  <c:v>1.69869</c:v>
                </c:pt>
                <c:pt idx="30">
                  <c:v>1.8434999999999999</c:v>
                </c:pt>
                <c:pt idx="31">
                  <c:v>1.8495299999999999</c:v>
                </c:pt>
                <c:pt idx="32">
                  <c:v>1.8448199999999999</c:v>
                </c:pt>
                <c:pt idx="33">
                  <c:v>1.8613999999999999</c:v>
                </c:pt>
                <c:pt idx="34">
                  <c:v>1.95906</c:v>
                </c:pt>
                <c:pt idx="35">
                  <c:v>1.9630300000000001</c:v>
                </c:pt>
                <c:pt idx="36">
                  <c:v>1.9949600000000001</c:v>
                </c:pt>
                <c:pt idx="37">
                  <c:v>1.95611</c:v>
                </c:pt>
                <c:pt idx="38">
                  <c:v>1.8502799999999999</c:v>
                </c:pt>
                <c:pt idx="39">
                  <c:v>1.83884</c:v>
                </c:pt>
                <c:pt idx="40">
                  <c:v>1.84189</c:v>
                </c:pt>
                <c:pt idx="41">
                  <c:v>1.8456900000000001</c:v>
                </c:pt>
                <c:pt idx="42">
                  <c:v>1.8419000000000001</c:v>
                </c:pt>
                <c:pt idx="43">
                  <c:v>1.9011400000000001</c:v>
                </c:pt>
                <c:pt idx="44">
                  <c:v>1.8816900000000001</c:v>
                </c:pt>
                <c:pt idx="45">
                  <c:v>1.9019699999999999</c:v>
                </c:pt>
                <c:pt idx="46">
                  <c:v>1.87645</c:v>
                </c:pt>
                <c:pt idx="47">
                  <c:v>1.9043099999999999</c:v>
                </c:pt>
                <c:pt idx="48">
                  <c:v>1.8968799999999999</c:v>
                </c:pt>
                <c:pt idx="49">
                  <c:v>1.9165099999999999</c:v>
                </c:pt>
                <c:pt idx="50">
                  <c:v>1.89591</c:v>
                </c:pt>
                <c:pt idx="51">
                  <c:v>1.99855</c:v>
                </c:pt>
                <c:pt idx="52">
                  <c:v>2.1027300000000002</c:v>
                </c:pt>
                <c:pt idx="53">
                  <c:v>2.1104099999999999</c:v>
                </c:pt>
                <c:pt idx="54">
                  <c:v>2.1122700000000001</c:v>
                </c:pt>
                <c:pt idx="55">
                  <c:v>2.12852</c:v>
                </c:pt>
                <c:pt idx="56">
                  <c:v>2.2932800000000002</c:v>
                </c:pt>
                <c:pt idx="57">
                  <c:v>2.2746200000000001</c:v>
                </c:pt>
                <c:pt idx="58">
                  <c:v>2.29304</c:v>
                </c:pt>
                <c:pt idx="59">
                  <c:v>2.27895</c:v>
                </c:pt>
                <c:pt idx="60">
                  <c:v>2.5383</c:v>
                </c:pt>
                <c:pt idx="61">
                  <c:v>2.52698</c:v>
                </c:pt>
                <c:pt idx="62">
                  <c:v>2.5426199999999999</c:v>
                </c:pt>
                <c:pt idx="63">
                  <c:v>2.5295700000000001</c:v>
                </c:pt>
                <c:pt idx="64">
                  <c:v>2.6560700000000002</c:v>
                </c:pt>
                <c:pt idx="65">
                  <c:v>2.8090000000000002</c:v>
                </c:pt>
                <c:pt idx="66">
                  <c:v>2.8354599999999999</c:v>
                </c:pt>
                <c:pt idx="67">
                  <c:v>2.8177699999999999</c:v>
                </c:pt>
                <c:pt idx="68">
                  <c:v>2.7917999999999998</c:v>
                </c:pt>
                <c:pt idx="69">
                  <c:v>2.7542200000000001</c:v>
                </c:pt>
                <c:pt idx="70">
                  <c:v>2.76729</c:v>
                </c:pt>
                <c:pt idx="71">
                  <c:v>2.7592599999999998</c:v>
                </c:pt>
                <c:pt idx="72">
                  <c:v>2.78348</c:v>
                </c:pt>
                <c:pt idx="73">
                  <c:v>2.78409</c:v>
                </c:pt>
                <c:pt idx="74">
                  <c:v>2.7770700000000001</c:v>
                </c:pt>
                <c:pt idx="75">
                  <c:v>2.7900499999999999</c:v>
                </c:pt>
                <c:pt idx="76">
                  <c:v>2.78647</c:v>
                </c:pt>
                <c:pt idx="77">
                  <c:v>2.80966</c:v>
                </c:pt>
                <c:pt idx="78">
                  <c:v>2.7996099999999999</c:v>
                </c:pt>
                <c:pt idx="79">
                  <c:v>2.8178200000000002</c:v>
                </c:pt>
                <c:pt idx="80">
                  <c:v>2.8172799999999998</c:v>
                </c:pt>
                <c:pt idx="81">
                  <c:v>2.8373599999999999</c:v>
                </c:pt>
                <c:pt idx="82">
                  <c:v>2.88693</c:v>
                </c:pt>
                <c:pt idx="83">
                  <c:v>2.8869899999999999</c:v>
                </c:pt>
                <c:pt idx="84">
                  <c:v>2.8881800000000002</c:v>
                </c:pt>
                <c:pt idx="85">
                  <c:v>2.8835600000000001</c:v>
                </c:pt>
                <c:pt idx="86">
                  <c:v>2.8651200000000001</c:v>
                </c:pt>
                <c:pt idx="87">
                  <c:v>2.8620100000000002</c:v>
                </c:pt>
                <c:pt idx="88">
                  <c:v>2.8693399999999998</c:v>
                </c:pt>
                <c:pt idx="89">
                  <c:v>2.8596900000000001</c:v>
                </c:pt>
                <c:pt idx="90">
                  <c:v>2.9345300000000001</c:v>
                </c:pt>
                <c:pt idx="91">
                  <c:v>3.0051800000000002</c:v>
                </c:pt>
                <c:pt idx="92">
                  <c:v>3.01763</c:v>
                </c:pt>
                <c:pt idx="93">
                  <c:v>3.00353</c:v>
                </c:pt>
                <c:pt idx="94">
                  <c:v>3.1041699999999999</c:v>
                </c:pt>
                <c:pt idx="95">
                  <c:v>3.5986500000000001</c:v>
                </c:pt>
                <c:pt idx="96">
                  <c:v>3.5562200000000002</c:v>
                </c:pt>
                <c:pt idx="97">
                  <c:v>3.6036700000000002</c:v>
                </c:pt>
                <c:pt idx="98">
                  <c:v>3.58989</c:v>
                </c:pt>
                <c:pt idx="99">
                  <c:v>3.67483</c:v>
                </c:pt>
                <c:pt idx="100">
                  <c:v>3.69089</c:v>
                </c:pt>
                <c:pt idx="101">
                  <c:v>3.7045599999999999</c:v>
                </c:pt>
                <c:pt idx="102">
                  <c:v>3.6856</c:v>
                </c:pt>
                <c:pt idx="103">
                  <c:v>3.70973</c:v>
                </c:pt>
                <c:pt idx="104">
                  <c:v>3.4414400000000001</c:v>
                </c:pt>
                <c:pt idx="105">
                  <c:v>3.4590100000000001</c:v>
                </c:pt>
                <c:pt idx="106">
                  <c:v>3.4557899999999999</c:v>
                </c:pt>
                <c:pt idx="107">
                  <c:v>3.4615499999999999</c:v>
                </c:pt>
                <c:pt idx="108">
                  <c:v>3.7925900000000001</c:v>
                </c:pt>
                <c:pt idx="109">
                  <c:v>3.8559399999999999</c:v>
                </c:pt>
                <c:pt idx="110">
                  <c:v>3.8676499999999998</c:v>
                </c:pt>
                <c:pt idx="111">
                  <c:v>3.8638699999999999</c:v>
                </c:pt>
                <c:pt idx="112">
                  <c:v>3.9876499999999999</c:v>
                </c:pt>
                <c:pt idx="113">
                  <c:v>4.0190000000000001</c:v>
                </c:pt>
                <c:pt idx="114">
                  <c:v>3.9797699999999998</c:v>
                </c:pt>
                <c:pt idx="115">
                  <c:v>3.97864</c:v>
                </c:pt>
                <c:pt idx="116">
                  <c:v>4.2866099999999996</c:v>
                </c:pt>
                <c:pt idx="117">
                  <c:v>4.7298799999999996</c:v>
                </c:pt>
                <c:pt idx="118">
                  <c:v>4.71469</c:v>
                </c:pt>
                <c:pt idx="119">
                  <c:v>4.7297399999999996</c:v>
                </c:pt>
                <c:pt idx="120">
                  <c:v>4.7588800000000004</c:v>
                </c:pt>
                <c:pt idx="121">
                  <c:v>5.0453200000000002</c:v>
                </c:pt>
                <c:pt idx="122">
                  <c:v>5.0651799999999998</c:v>
                </c:pt>
                <c:pt idx="123">
                  <c:v>5.0320499999999999</c:v>
                </c:pt>
                <c:pt idx="124">
                  <c:v>5.06081</c:v>
                </c:pt>
                <c:pt idx="125">
                  <c:v>5.4689300000000003</c:v>
                </c:pt>
                <c:pt idx="126">
                  <c:v>5.6220800000000004</c:v>
                </c:pt>
                <c:pt idx="127">
                  <c:v>5.6301399999999999</c:v>
                </c:pt>
                <c:pt idx="128">
                  <c:v>5.6105</c:v>
                </c:pt>
                <c:pt idx="129">
                  <c:v>5.7118599999999997</c:v>
                </c:pt>
                <c:pt idx="130">
                  <c:v>5.8374100000000002</c:v>
                </c:pt>
                <c:pt idx="131">
                  <c:v>5.8202800000000003</c:v>
                </c:pt>
                <c:pt idx="132">
                  <c:v>5.8385899999999999</c:v>
                </c:pt>
                <c:pt idx="133">
                  <c:v>5.8296400000000004</c:v>
                </c:pt>
                <c:pt idx="134">
                  <c:v>5.6726700000000001</c:v>
                </c:pt>
                <c:pt idx="135">
                  <c:v>5.6849299999999996</c:v>
                </c:pt>
                <c:pt idx="136">
                  <c:v>5.6690100000000001</c:v>
                </c:pt>
                <c:pt idx="137">
                  <c:v>5.7508900000000001</c:v>
                </c:pt>
                <c:pt idx="138">
                  <c:v>5.2945900000000004</c:v>
                </c:pt>
                <c:pt idx="139">
                  <c:v>5.0297799999999997</c:v>
                </c:pt>
                <c:pt idx="140">
                  <c:v>5.08094</c:v>
                </c:pt>
                <c:pt idx="141">
                  <c:v>5.0966699999999996</c:v>
                </c:pt>
                <c:pt idx="142">
                  <c:v>5.0953499999999998</c:v>
                </c:pt>
                <c:pt idx="143">
                  <c:v>5.03261</c:v>
                </c:pt>
                <c:pt idx="144">
                  <c:v>5.0357200000000004</c:v>
                </c:pt>
                <c:pt idx="145">
                  <c:v>5.0580999999999996</c:v>
                </c:pt>
                <c:pt idx="146">
                  <c:v>5.0560799999999997</c:v>
                </c:pt>
                <c:pt idx="147">
                  <c:v>5.3247499999999999</c:v>
                </c:pt>
                <c:pt idx="148">
                  <c:v>5.3252199999999998</c:v>
                </c:pt>
                <c:pt idx="149">
                  <c:v>5.4010300000000004</c:v>
                </c:pt>
                <c:pt idx="150">
                  <c:v>5.41784</c:v>
                </c:pt>
                <c:pt idx="151">
                  <c:v>5.2165499999999998</c:v>
                </c:pt>
                <c:pt idx="152">
                  <c:v>5.0778999999999996</c:v>
                </c:pt>
                <c:pt idx="153">
                  <c:v>5.0316700000000001</c:v>
                </c:pt>
                <c:pt idx="154">
                  <c:v>5.0889800000000003</c:v>
                </c:pt>
                <c:pt idx="155">
                  <c:v>4.4554</c:v>
                </c:pt>
                <c:pt idx="156">
                  <c:v>4.5530499999999998</c:v>
                </c:pt>
                <c:pt idx="157">
                  <c:v>4.5769599999999997</c:v>
                </c:pt>
                <c:pt idx="158">
                  <c:v>4.5315399999999997</c:v>
                </c:pt>
                <c:pt idx="159">
                  <c:v>4.5340100000000003</c:v>
                </c:pt>
                <c:pt idx="160">
                  <c:v>5.0299300000000002</c:v>
                </c:pt>
                <c:pt idx="161">
                  <c:v>5.2735000000000003</c:v>
                </c:pt>
                <c:pt idx="162">
                  <c:v>5.3514699999999999</c:v>
                </c:pt>
                <c:pt idx="163">
                  <c:v>5.3001800000000001</c:v>
                </c:pt>
                <c:pt idx="164">
                  <c:v>4.7530099999999997</c:v>
                </c:pt>
                <c:pt idx="165">
                  <c:v>4.5825399999999998</c:v>
                </c:pt>
                <c:pt idx="166">
                  <c:v>4.5607499999999996</c:v>
                </c:pt>
                <c:pt idx="167">
                  <c:v>4.5510400000000004</c:v>
                </c:pt>
                <c:pt idx="168">
                  <c:v>4.4471600000000002</c:v>
                </c:pt>
                <c:pt idx="169">
                  <c:v>4.3262900000000002</c:v>
                </c:pt>
                <c:pt idx="170">
                  <c:v>4.3334099999999998</c:v>
                </c:pt>
                <c:pt idx="171">
                  <c:v>4.2971700000000004</c:v>
                </c:pt>
                <c:pt idx="172">
                  <c:v>4.3182400000000003</c:v>
                </c:pt>
                <c:pt idx="173">
                  <c:v>3.86016</c:v>
                </c:pt>
                <c:pt idx="174">
                  <c:v>3.8604699999999998</c:v>
                </c:pt>
                <c:pt idx="175">
                  <c:v>3.8569200000000001</c:v>
                </c:pt>
                <c:pt idx="176">
                  <c:v>3.8298999999999999</c:v>
                </c:pt>
                <c:pt idx="177">
                  <c:v>3.59592</c:v>
                </c:pt>
                <c:pt idx="178">
                  <c:v>3.3962599999999998</c:v>
                </c:pt>
                <c:pt idx="179">
                  <c:v>3.37479</c:v>
                </c:pt>
                <c:pt idx="180">
                  <c:v>3.32517</c:v>
                </c:pt>
                <c:pt idx="181">
                  <c:v>3.3437700000000001</c:v>
                </c:pt>
                <c:pt idx="182">
                  <c:v>3.4388200000000002</c:v>
                </c:pt>
                <c:pt idx="183">
                  <c:v>3.4516399999999998</c:v>
                </c:pt>
                <c:pt idx="184">
                  <c:v>3.4104399999999999</c:v>
                </c:pt>
                <c:pt idx="185">
                  <c:v>3.4059699999999999</c:v>
                </c:pt>
                <c:pt idx="186">
                  <c:v>3.5601600000000002</c:v>
                </c:pt>
                <c:pt idx="187">
                  <c:v>3.5778400000000001</c:v>
                </c:pt>
                <c:pt idx="188">
                  <c:v>3.50603</c:v>
                </c:pt>
                <c:pt idx="189">
                  <c:v>3.5528400000000002</c:v>
                </c:pt>
                <c:pt idx="190">
                  <c:v>3.9205299999999998</c:v>
                </c:pt>
                <c:pt idx="191">
                  <c:v>4.2867699999999997</c:v>
                </c:pt>
                <c:pt idx="192">
                  <c:v>4.2799199999999997</c:v>
                </c:pt>
                <c:pt idx="193">
                  <c:v>4.2871800000000002</c:v>
                </c:pt>
                <c:pt idx="194">
                  <c:v>4.3057400000000001</c:v>
                </c:pt>
                <c:pt idx="195">
                  <c:v>4.45099</c:v>
                </c:pt>
                <c:pt idx="196">
                  <c:v>4.47384</c:v>
                </c:pt>
                <c:pt idx="197">
                  <c:v>4.50284</c:v>
                </c:pt>
                <c:pt idx="198">
                  <c:v>4.4785899999999996</c:v>
                </c:pt>
                <c:pt idx="199">
                  <c:v>4.4370700000000003</c:v>
                </c:pt>
                <c:pt idx="200">
                  <c:v>4.3958399999999997</c:v>
                </c:pt>
                <c:pt idx="201">
                  <c:v>4.3394000000000004</c:v>
                </c:pt>
                <c:pt idx="202">
                  <c:v>4.415</c:v>
                </c:pt>
                <c:pt idx="203">
                  <c:v>4.3988199999999997</c:v>
                </c:pt>
                <c:pt idx="204">
                  <c:v>4.12148</c:v>
                </c:pt>
                <c:pt idx="205">
                  <c:v>4.0841000000000003</c:v>
                </c:pt>
                <c:pt idx="206">
                  <c:v>4.1729700000000003</c:v>
                </c:pt>
                <c:pt idx="207">
                  <c:v>4.0621400000000003</c:v>
                </c:pt>
                <c:pt idx="208">
                  <c:v>3.7496999999999998</c:v>
                </c:pt>
                <c:pt idx="209">
                  <c:v>3.69679</c:v>
                </c:pt>
                <c:pt idx="210">
                  <c:v>3.7517100000000001</c:v>
                </c:pt>
                <c:pt idx="211">
                  <c:v>3.7582399999999998</c:v>
                </c:pt>
                <c:pt idx="212">
                  <c:v>3.74207</c:v>
                </c:pt>
                <c:pt idx="213">
                  <c:v>3.67639</c:v>
                </c:pt>
                <c:pt idx="214">
                  <c:v>3.74553</c:v>
                </c:pt>
                <c:pt idx="215">
                  <c:v>3.7390099999999999</c:v>
                </c:pt>
                <c:pt idx="216">
                  <c:v>3.8107799999999998</c:v>
                </c:pt>
                <c:pt idx="217">
                  <c:v>4.0218699999999998</c:v>
                </c:pt>
                <c:pt idx="218">
                  <c:v>3.9740899999999999</c:v>
                </c:pt>
                <c:pt idx="219">
                  <c:v>4.0516399999999999</c:v>
                </c:pt>
                <c:pt idx="220">
                  <c:v>4.0550800000000002</c:v>
                </c:pt>
                <c:pt idx="221">
                  <c:v>3.9913699999999999</c:v>
                </c:pt>
                <c:pt idx="222">
                  <c:v>3.9236499999999999</c:v>
                </c:pt>
                <c:pt idx="223">
                  <c:v>3.9866100000000002</c:v>
                </c:pt>
                <c:pt idx="224">
                  <c:v>3.9905300000000001</c:v>
                </c:pt>
                <c:pt idx="225">
                  <c:v>4.0567700000000002</c:v>
                </c:pt>
                <c:pt idx="226">
                  <c:v>4.0291399999999999</c:v>
                </c:pt>
                <c:pt idx="227">
                  <c:v>4.0420600000000002</c:v>
                </c:pt>
                <c:pt idx="228">
                  <c:v>4.0989000000000004</c:v>
                </c:pt>
                <c:pt idx="229">
                  <c:v>4.00976</c:v>
                </c:pt>
                <c:pt idx="230">
                  <c:v>3.7525200000000001</c:v>
                </c:pt>
                <c:pt idx="231">
                  <c:v>3.80911</c:v>
                </c:pt>
                <c:pt idx="232">
                  <c:v>3.7559300000000002</c:v>
                </c:pt>
                <c:pt idx="233">
                  <c:v>3.79975</c:v>
                </c:pt>
                <c:pt idx="234">
                  <c:v>3.8620999999999999</c:v>
                </c:pt>
                <c:pt idx="235">
                  <c:v>3.9154599999999999</c:v>
                </c:pt>
                <c:pt idx="236">
                  <c:v>3.8623400000000001</c:v>
                </c:pt>
                <c:pt idx="237">
                  <c:v>3.9249299999999998</c:v>
                </c:pt>
                <c:pt idx="238">
                  <c:v>3.9798399999999998</c:v>
                </c:pt>
                <c:pt idx="239">
                  <c:v>4.1609299999999996</c:v>
                </c:pt>
                <c:pt idx="240">
                  <c:v>4.1883600000000003</c:v>
                </c:pt>
                <c:pt idx="241">
                  <c:v>4.1311900000000001</c:v>
                </c:pt>
                <c:pt idx="242">
                  <c:v>4.1556100000000002</c:v>
                </c:pt>
                <c:pt idx="243">
                  <c:v>3.80884</c:v>
                </c:pt>
                <c:pt idx="244">
                  <c:v>3.8465699999999998</c:v>
                </c:pt>
                <c:pt idx="245">
                  <c:v>3.7860499999999999</c:v>
                </c:pt>
                <c:pt idx="246">
                  <c:v>3.8159200000000002</c:v>
                </c:pt>
                <c:pt idx="247" formatCode="#0.00000">
                  <c:v>3.5474700000000001</c:v>
                </c:pt>
                <c:pt idx="248" formatCode="#0.00000">
                  <c:v>3.5240499999999999</c:v>
                </c:pt>
                <c:pt idx="249" formatCode="#0.00000">
                  <c:v>3.4883999999999999</c:v>
                </c:pt>
                <c:pt idx="250" formatCode="#0.00000">
                  <c:v>3.4948999999999999</c:v>
                </c:pt>
                <c:pt idx="251" formatCode="#0.00000">
                  <c:v>3.5568599999999999</c:v>
                </c:pt>
                <c:pt idx="252" formatCode="#0.00000">
                  <c:v>3.5369700000000002</c:v>
                </c:pt>
                <c:pt idx="253" formatCode="#0.00000">
                  <c:v>3.61869</c:v>
                </c:pt>
                <c:pt idx="254" formatCode="#0.00000">
                  <c:v>3.5214599999999998</c:v>
                </c:pt>
                <c:pt idx="255" formatCode="#0.00000">
                  <c:v>3.6043599999999998</c:v>
                </c:pt>
                <c:pt idx="256" formatCode="#0.00000">
                  <c:v>3.7030599999999998</c:v>
                </c:pt>
                <c:pt idx="257" formatCode="#0.00000">
                  <c:v>3.6384300000000001</c:v>
                </c:pt>
                <c:pt idx="258" formatCode="#0.00000">
                  <c:v>3.6957499999999999</c:v>
                </c:pt>
                <c:pt idx="259" formatCode="#0.00000">
                  <c:v>3.6444399999999999</c:v>
                </c:pt>
                <c:pt idx="260" formatCode="#0.00000">
                  <c:v>3.8604500000000002</c:v>
                </c:pt>
                <c:pt idx="261" formatCode="#0.00000">
                  <c:v>3.8867699999999998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3-4ABA-A941-D5BB8042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4190160"/>
        <c:axId val="2014193520"/>
      </c:barChart>
      <c:catAx>
        <c:axId val="2014190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4193520"/>
        <c:crosses val="autoZero"/>
        <c:auto val="1"/>
        <c:lblAlgn val="ctr"/>
        <c:lblOffset val="100"/>
        <c:noMultiLvlLbl val="0"/>
      </c:catAx>
      <c:valAx>
        <c:axId val="20141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419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74</xdr:row>
      <xdr:rowOff>85725</xdr:rowOff>
    </xdr:from>
    <xdr:to>
      <xdr:col>6</xdr:col>
      <xdr:colOff>322762</xdr:colOff>
      <xdr:row>109</xdr:row>
      <xdr:rowOff>8700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2FABBE-D60E-1C24-2BEC-4CC24A37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4573250"/>
          <a:ext cx="8704762" cy="66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1133475</xdr:colOff>
      <xdr:row>64</xdr:row>
      <xdr:rowOff>190499</xdr:rowOff>
    </xdr:from>
    <xdr:to>
      <xdr:col>9</xdr:col>
      <xdr:colOff>466725</xdr:colOff>
      <xdr:row>91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274D-6D88-45F5-97CF-8E0E3BE95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372861</xdr:colOff>
      <xdr:row>67</xdr:row>
      <xdr:rowOff>85725</xdr:rowOff>
    </xdr:from>
    <xdr:to>
      <xdr:col>5</xdr:col>
      <xdr:colOff>382588</xdr:colOff>
      <xdr:row>88</xdr:row>
      <xdr:rowOff>71641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DEEC413D-7C5A-23D8-5C09-EF14D48C476A}"/>
            </a:ext>
          </a:extLst>
        </xdr:cNvPr>
        <xdr:cNvCxnSpPr/>
      </xdr:nvCxnSpPr>
      <xdr:spPr>
        <a:xfrm flipV="1">
          <a:off x="5735436" y="16249650"/>
          <a:ext cx="9727" cy="3986416"/>
        </a:xfrm>
        <a:prstGeom prst="line">
          <a:avLst/>
        </a:prstGeom>
        <a:ln w="28575" cmpd="sng">
          <a:solidFill>
            <a:schemeClr val="bg2">
              <a:lumMod val="50000"/>
            </a:schemeClr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1304925</xdr:colOff>
      <xdr:row>66</xdr:row>
      <xdr:rowOff>85725</xdr:rowOff>
    </xdr:from>
    <xdr:to>
      <xdr:col>18</xdr:col>
      <xdr:colOff>57150</xdr:colOff>
      <xdr:row>92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B601C28-5C65-4154-B2D8-887281408D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722313</xdr:colOff>
      <xdr:row>84</xdr:row>
      <xdr:rowOff>103188</xdr:rowOff>
    </xdr:from>
    <xdr:to>
      <xdr:col>4</xdr:col>
      <xdr:colOff>301625</xdr:colOff>
      <xdr:row>85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F9428B-DA8C-E957-053E-D6AE41CB0C56}"/>
            </a:ext>
          </a:extLst>
        </xdr:cNvPr>
        <xdr:cNvSpPr txBox="1"/>
      </xdr:nvSpPr>
      <xdr:spPr>
        <a:xfrm>
          <a:off x="4183063" y="19994563"/>
          <a:ext cx="873125" cy="2460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kern="1200">
              <a:latin typeface="Times New Roman" panose="02020603050405020304" pitchFamily="18" charset="0"/>
              <a:cs typeface="Times New Roman" panose="02020603050405020304" pitchFamily="18" charset="0"/>
            </a:rPr>
            <a:t>Passageiro</a:t>
          </a:r>
        </a:p>
      </xdr:txBody>
    </xdr:sp>
    <xdr:clientData/>
  </xdr:twoCellAnchor>
  <xdr:twoCellAnchor editAs="oneCell">
    <xdr:from>
      <xdr:col>5</xdr:col>
      <xdr:colOff>219075</xdr:colOff>
      <xdr:row>95</xdr:row>
      <xdr:rowOff>19050</xdr:rowOff>
    </xdr:from>
    <xdr:to>
      <xdr:col>14</xdr:col>
      <xdr:colOff>36839</xdr:colOff>
      <xdr:row>106</xdr:row>
      <xdr:rowOff>133061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56BFACD-B141-8D06-D1AB-108970468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21536025"/>
          <a:ext cx="10085714" cy="2314286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0.34225</cdr:x>
      <cdr:y>0.31254</cdr:y>
    </cdr:from>
    <cdr:to>
      <cdr:x>0.4593</cdr:x>
      <cdr:y>0.36736</cdr:y>
    </cdr:to>
    <cdr:sp macro="" textlink="">
      <cdr:nvSpPr>
        <cdr:cNvPr id="3" name="TextBox 12">
          <a:extLst xmlns:a="http://schemas.openxmlformats.org/drawingml/2006/main">
            <a:ext uri="{FF2B5EF4-FFF2-40B4-BE49-F238E27FC236}">
              <a16:creationId xmlns:a16="http://schemas.microsoft.com/office/drawing/2014/main" id="{E0FAC40B-C6AC-FDB7-353A-7352729CE167}"/>
            </a:ext>
          </a:extLst>
        </cdr:cNvPr>
        <cdr:cNvSpPr txBox="1"/>
      </cdr:nvSpPr>
      <cdr:spPr>
        <a:xfrm xmlns:a="http://schemas.openxmlformats.org/drawingml/2006/main">
          <a:off x="2803560" y="1574799"/>
          <a:ext cx="958815" cy="27622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Histórico</a:t>
          </a:r>
        </a:p>
      </cdr:txBody>
    </cdr:sp>
  </cdr:relSizeAnchor>
  <cdr:relSizeAnchor xmlns:cdr="http://schemas.openxmlformats.org/drawingml/2006/chartDrawing">
    <cdr:from>
      <cdr:x>0.48993</cdr:x>
      <cdr:y>0.31632</cdr:y>
    </cdr:from>
    <cdr:to>
      <cdr:x>0.62365</cdr:x>
      <cdr:y>0.37114</cdr:y>
    </cdr:to>
    <cdr:sp macro="" textlink="">
      <cdr:nvSpPr>
        <cdr:cNvPr id="4" name="TextBox 12">
          <a:extLst xmlns:a="http://schemas.openxmlformats.org/drawingml/2006/main">
            <a:ext uri="{FF2B5EF4-FFF2-40B4-BE49-F238E27FC236}">
              <a16:creationId xmlns:a16="http://schemas.microsoft.com/office/drawing/2014/main" id="{E0FAC40B-C6AC-FDB7-353A-7352729CE167}"/>
            </a:ext>
          </a:extLst>
        </cdr:cNvPr>
        <cdr:cNvSpPr txBox="1"/>
      </cdr:nvSpPr>
      <cdr:spPr>
        <a:xfrm xmlns:a="http://schemas.openxmlformats.org/drawingml/2006/main">
          <a:off x="4013225" y="1593853"/>
          <a:ext cx="1095368" cy="27622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Projeções</a:t>
          </a:r>
        </a:p>
      </cdr:txBody>
    </cdr:sp>
  </cdr:relSizeAnchor>
  <cdr:relSizeAnchor xmlns:cdr="http://schemas.openxmlformats.org/drawingml/2006/chartDrawing">
    <cdr:from>
      <cdr:x>0.35407</cdr:x>
      <cdr:y>0.83554</cdr:y>
    </cdr:from>
    <cdr:to>
      <cdr:x>0.46066</cdr:x>
      <cdr:y>0.88437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A5F9428B-DA8C-E957-053E-D6AE41CB0C56}"/>
            </a:ext>
          </a:extLst>
        </cdr:cNvPr>
        <cdr:cNvSpPr txBox="1"/>
      </cdr:nvSpPr>
      <cdr:spPr>
        <a:xfrm xmlns:a="http://schemas.openxmlformats.org/drawingml/2006/main">
          <a:off x="2900363" y="4210050"/>
          <a:ext cx="873125" cy="246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 kern="1200">
              <a:latin typeface="Times New Roman" panose="02020603050405020304" pitchFamily="18" charset="0"/>
              <a:cs typeface="Times New Roman" panose="02020603050405020304" pitchFamily="18" charset="0"/>
            </a:rPr>
            <a:t>Carga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0.46395</cdr:x>
      <cdr:y>0.09452</cdr:y>
    </cdr:from>
    <cdr:to>
      <cdr:x>0.46628</cdr:x>
      <cdr:y>0.93951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DEEC413D-7C5A-23D8-5C09-EF14D48C476A}"/>
            </a:ext>
          </a:extLst>
        </cdr:cNvPr>
        <cdr:cNvCxnSpPr/>
      </cdr:nvCxnSpPr>
      <cdr:spPr>
        <a:xfrm xmlns:a="http://schemas.openxmlformats.org/drawingml/2006/main" flipV="1">
          <a:off x="3800475" y="476260"/>
          <a:ext cx="19058" cy="4257665"/>
        </a:xfrm>
        <a:prstGeom xmlns:a="http://schemas.openxmlformats.org/drawingml/2006/main" prst="line">
          <a:avLst/>
        </a:prstGeom>
        <a:ln xmlns:a="http://schemas.openxmlformats.org/drawingml/2006/main" w="28575" cmpd="sng">
          <a:solidFill>
            <a:schemeClr val="bg2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0.32829</cdr:x>
      <cdr:y>0.30498</cdr:y>
    </cdr:from>
    <cdr:to>
      <cdr:x>0.44535</cdr:x>
      <cdr:y>0.3598</cdr:y>
    </cdr:to>
    <cdr:sp macro="" textlink="">
      <cdr:nvSpPr>
        <cdr:cNvPr id="7" name="TextBox 12">
          <a:extLst xmlns:a="http://schemas.openxmlformats.org/drawingml/2006/main">
            <a:ext uri="{FF2B5EF4-FFF2-40B4-BE49-F238E27FC236}">
              <a16:creationId xmlns:a16="http://schemas.microsoft.com/office/drawing/2014/main" id="{4523E5CF-511D-4250-5453-485397F15E59}"/>
            </a:ext>
          </a:extLst>
        </cdr:cNvPr>
        <cdr:cNvSpPr txBox="1"/>
      </cdr:nvSpPr>
      <cdr:spPr>
        <a:xfrm xmlns:a="http://schemas.openxmlformats.org/drawingml/2006/main">
          <a:off x="2689225" y="1536700"/>
          <a:ext cx="958850" cy="2762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Histórico</a:t>
          </a:r>
        </a:p>
      </cdr:txBody>
    </cdr:sp>
  </cdr:relSizeAnchor>
  <cdr:relSizeAnchor xmlns:cdr="http://schemas.openxmlformats.org/drawingml/2006/chartDrawing">
    <cdr:from>
      <cdr:x>0.48992</cdr:x>
      <cdr:y>0.30876</cdr:y>
    </cdr:from>
    <cdr:to>
      <cdr:x>0.62364</cdr:x>
      <cdr:y>0.36358</cdr:y>
    </cdr:to>
    <cdr:sp macro="" textlink="">
      <cdr:nvSpPr>
        <cdr:cNvPr id="8" name="TextBox 12">
          <a:extLst xmlns:a="http://schemas.openxmlformats.org/drawingml/2006/main">
            <a:ext uri="{FF2B5EF4-FFF2-40B4-BE49-F238E27FC236}">
              <a16:creationId xmlns:a16="http://schemas.microsoft.com/office/drawing/2014/main" id="{46B4B6DA-7229-CDD5-C350-8133B014290B}"/>
            </a:ext>
          </a:extLst>
        </cdr:cNvPr>
        <cdr:cNvSpPr txBox="1"/>
      </cdr:nvSpPr>
      <cdr:spPr>
        <a:xfrm xmlns:a="http://schemas.openxmlformats.org/drawingml/2006/main">
          <a:off x="4013187" y="1555740"/>
          <a:ext cx="1095368" cy="27622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200" b="1" kern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Projeções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119061</xdr:colOff>
      <xdr:row>56</xdr:row>
      <xdr:rowOff>109536</xdr:rowOff>
    </xdr:from>
    <xdr:to>
      <xdr:col>13</xdr:col>
      <xdr:colOff>66675</xdr:colOff>
      <xdr:row>84</xdr:row>
      <xdr:rowOff>38100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AF48848F-42CA-39E6-B227-C3D26ACB9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606</xdr:row>
      <xdr:rowOff>166687</xdr:rowOff>
    </xdr:from>
    <xdr:to>
      <xdr:col>18</xdr:col>
      <xdr:colOff>152400</xdr:colOff>
      <xdr:row>621</xdr:row>
      <xdr:rowOff>52387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94B79D-076D-CE29-53EB-72D3B59F0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717629</xdr:colOff>
      <xdr:row>16</xdr:row>
      <xdr:rowOff>65157</xdr:rowOff>
    </xdr:from>
    <xdr:to>
      <xdr:col>32</xdr:col>
      <xdr:colOff>448248</xdr:colOff>
      <xdr:row>24</xdr:row>
      <xdr:rowOff>469633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192925A-00E5-424D-A320-E16C973AD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7593" y="3494157"/>
          <a:ext cx="8411976" cy="1928476"/>
        </a:xfrm>
        <a:prstGeom prst="rect">
          <a:avLst/>
        </a:prstGeom>
      </xdr:spPr>
    </xdr:pic>
    <xdr:clientData/>
  </xdr:twoCellAnchor>
  <xdr:twoCellAnchor editAs="oneCell">
    <xdr:from>
      <xdr:col>18</xdr:col>
      <xdr:colOff>273326</xdr:colOff>
      <xdr:row>27</xdr:row>
      <xdr:rowOff>59834</xdr:rowOff>
    </xdr:from>
    <xdr:to>
      <xdr:col>24</xdr:col>
      <xdr:colOff>603505</xdr:colOff>
      <xdr:row>37</xdr:row>
      <xdr:rowOff>58050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F60CD27-FD21-C999-080F-442DBF194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42043" y="5584334"/>
          <a:ext cx="4124739" cy="1903216"/>
        </a:xfrm>
        <a:prstGeom prst="rect">
          <a:avLst/>
        </a:prstGeom>
      </xdr:spPr>
    </xdr:pic>
    <xdr:clientData/>
  </xdr:twoCellAnchor>
  <xdr:twoCellAnchor editAs="oneCell">
    <xdr:from>
      <xdr:col>23</xdr:col>
      <xdr:colOff>567840</xdr:colOff>
      <xdr:row>36</xdr:row>
      <xdr:rowOff>68209</xdr:rowOff>
    </xdr:from>
    <xdr:to>
      <xdr:col>34</xdr:col>
      <xdr:colOff>45028</xdr:colOff>
      <xdr:row>54</xdr:row>
      <xdr:rowOff>21653</xdr:rowOff>
    </xdr:to>
    <xdr:pic>
      <xdr:nvPicPr>
        <xdr:cNvPr id="7" name="Imagem 20">
          <a:extLst>
            <a:ext uri="{FF2B5EF4-FFF2-40B4-BE49-F238E27FC236}">
              <a16:creationId xmlns:a16="http://schemas.microsoft.com/office/drawing/2014/main" id="{715701BC-374A-78DE-22B6-29629901D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828626" y="6926209"/>
          <a:ext cx="6212724" cy="489523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717629</xdr:colOff>
      <xdr:row>18</xdr:row>
      <xdr:rowOff>65157</xdr:rowOff>
    </xdr:from>
    <xdr:to>
      <xdr:col>32</xdr:col>
      <xdr:colOff>448248</xdr:colOff>
      <xdr:row>28</xdr:row>
      <xdr:rowOff>88633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EF9D10-8F77-4775-BBD2-A50E0163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0379" y="3494157"/>
          <a:ext cx="8369794" cy="1928476"/>
        </a:xfrm>
        <a:prstGeom prst="rect">
          <a:avLst/>
        </a:prstGeom>
      </xdr:spPr>
    </xdr:pic>
    <xdr:clientData/>
  </xdr:twoCellAnchor>
  <xdr:twoCellAnchor editAs="oneCell">
    <xdr:from>
      <xdr:col>18</xdr:col>
      <xdr:colOff>273326</xdr:colOff>
      <xdr:row>29</xdr:row>
      <xdr:rowOff>59834</xdr:rowOff>
    </xdr:from>
    <xdr:to>
      <xdr:col>24</xdr:col>
      <xdr:colOff>603505</xdr:colOff>
      <xdr:row>39</xdr:row>
      <xdr:rowOff>58050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FBD8A2A-E64A-4124-A86B-4C1364148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56076" y="6727334"/>
          <a:ext cx="4092554" cy="1903216"/>
        </a:xfrm>
        <a:prstGeom prst="rect">
          <a:avLst/>
        </a:prstGeom>
      </xdr:spPr>
    </xdr:pic>
    <xdr:clientData/>
  </xdr:twoCellAnchor>
  <xdr:twoCellAnchor editAs="oneCell">
    <xdr:from>
      <xdr:col>23</xdr:col>
      <xdr:colOff>567840</xdr:colOff>
      <xdr:row>36</xdr:row>
      <xdr:rowOff>68209</xdr:rowOff>
    </xdr:from>
    <xdr:to>
      <xdr:col>34</xdr:col>
      <xdr:colOff>45028</xdr:colOff>
      <xdr:row>54</xdr:row>
      <xdr:rowOff>10447</xdr:rowOff>
    </xdr:to>
    <xdr:pic>
      <xdr:nvPicPr>
        <xdr:cNvPr id="4" name="Imagem 20">
          <a:extLst>
            <a:ext uri="{FF2B5EF4-FFF2-40B4-BE49-F238E27FC236}">
              <a16:creationId xmlns:a16="http://schemas.microsoft.com/office/drawing/2014/main" id="{385D8487-D178-464A-A394-E2AF40BA5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103365" y="8069209"/>
          <a:ext cx="6182788" cy="4895238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lataforma.seeg.eco.br/?_gl=1*1c7j466*_ga*MTk0NzI2MDYwMS4xNzMyNzM0Mzg0*_ga_XZWSWEJDWQ*MTczMjczNDM4NC4xLjAuMTczMjczNDM4NC4wLjAuMA.." TargetMode="External"/><Relationship Id="rId1" Type="http://schemas.openxmlformats.org/officeDocument/2006/relationships/hyperlink" Target="https://data.worldbank.org/indicator/NY.GDP.PCAP.PP.CD?name_desc=false&amp;locations=B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3860-E01B-437B-BD1E-6907CC3EEE5F}">
  <dimension ref="A1:V100"/>
  <sheetViews>
    <sheetView topLeftCell="A38" zoomScaleNormal="100" workbookViewId="0">
      <pane xSplit="1" topLeftCell="B1" activePane="topRight" state="frozen"/>
      <selection pane="topRight" activeCell="T40" sqref="T40"/>
    </sheetView>
  </sheetViews>
  <sheetFormatPr defaultRowHeight="15" x14ac:dyDescent="0.25"/>
  <cols>
    <col min="1" max="1" width="9.140625" customWidth="1"/>
    <col min="2" max="2" width="23.140625" customWidth="1"/>
    <col min="3" max="3" width="23.7109375" customWidth="1"/>
    <col min="4" max="4" width="27" customWidth="1"/>
    <col min="5" max="5" width="22" customWidth="1"/>
    <col min="6" max="6" width="23.85546875" customWidth="1"/>
    <col min="7" max="7" width="27" customWidth="1"/>
    <col min="8" max="8" width="31.85546875" customWidth="1"/>
    <col min="9" max="9" width="12.42578125" customWidth="1"/>
    <col min="10" max="10" width="17.42578125" customWidth="1"/>
    <col min="11" max="11" width="16.85546875" customWidth="1"/>
    <col min="12" max="12" width="14.7109375" customWidth="1"/>
    <col min="13" max="13" width="12" customWidth="1"/>
    <col min="15" max="15" width="14.42578125" customWidth="1"/>
    <col min="16" max="16" width="13.28515625" style="30" bestFit="1" customWidth="1"/>
    <col min="18" max="18" width="10.28515625" customWidth="1"/>
    <col min="19" max="19" width="11.28515625" customWidth="1"/>
    <col min="20" max="20" width="13.7109375" customWidth="1"/>
    <col min="21" max="21" width="11.7109375" customWidth="1"/>
  </cols>
  <sheetData>
    <row r="1" spans="1:16" x14ac:dyDescent="0.25">
      <c r="A1" s="191" t="s">
        <v>45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</row>
    <row r="2" spans="1:16" ht="30" x14ac:dyDescent="0.25">
      <c r="A2" s="195" t="s">
        <v>28</v>
      </c>
      <c r="B2" s="21" t="s">
        <v>50</v>
      </c>
      <c r="C2" s="193" t="s">
        <v>49</v>
      </c>
      <c r="D2" s="193"/>
      <c r="E2" s="193" t="s">
        <v>51</v>
      </c>
      <c r="F2" s="193"/>
      <c r="G2" s="193" t="s">
        <v>52</v>
      </c>
      <c r="H2" s="193"/>
      <c r="I2" s="21" t="s">
        <v>53</v>
      </c>
      <c r="J2" s="21" t="s">
        <v>53</v>
      </c>
      <c r="K2" s="193" t="s">
        <v>75</v>
      </c>
      <c r="L2" s="193"/>
      <c r="M2" s="20" t="s">
        <v>54</v>
      </c>
      <c r="N2" s="15"/>
      <c r="O2" s="15" t="s">
        <v>8</v>
      </c>
      <c r="P2" s="27"/>
    </row>
    <row r="3" spans="1:16" ht="30" x14ac:dyDescent="0.25">
      <c r="A3" s="195"/>
      <c r="B3" s="16" t="s">
        <v>56</v>
      </c>
      <c r="C3" s="17" t="s">
        <v>1</v>
      </c>
      <c r="D3" s="18" t="s">
        <v>2</v>
      </c>
      <c r="E3" s="17" t="s">
        <v>9</v>
      </c>
      <c r="F3" s="18" t="s">
        <v>10</v>
      </c>
      <c r="G3" s="17" t="s">
        <v>2</v>
      </c>
      <c r="H3" s="18" t="s">
        <v>11</v>
      </c>
      <c r="I3" s="16" t="s">
        <v>39</v>
      </c>
      <c r="J3" s="16" t="s">
        <v>12</v>
      </c>
      <c r="K3" s="17" t="s">
        <v>3</v>
      </c>
      <c r="L3" s="18" t="s">
        <v>4</v>
      </c>
      <c r="M3" s="16" t="s">
        <v>5</v>
      </c>
      <c r="N3" s="16"/>
      <c r="O3" s="16" t="s">
        <v>13</v>
      </c>
      <c r="P3" s="28" t="s">
        <v>67</v>
      </c>
    </row>
    <row r="4" spans="1:16" x14ac:dyDescent="0.25">
      <c r="A4" s="19">
        <v>1990</v>
      </c>
      <c r="B4" s="22">
        <v>5940999</v>
      </c>
      <c r="C4" s="23" t="s">
        <v>26</v>
      </c>
      <c r="D4" s="23" t="s">
        <v>26</v>
      </c>
      <c r="E4" s="23" t="s">
        <v>26</v>
      </c>
      <c r="F4" s="23" t="s">
        <v>26</v>
      </c>
      <c r="G4" s="23" t="s">
        <v>26</v>
      </c>
      <c r="H4" s="23" t="s">
        <v>26</v>
      </c>
      <c r="I4" s="23" t="s">
        <v>26</v>
      </c>
      <c r="J4" s="23" t="s">
        <v>26</v>
      </c>
      <c r="K4" s="23" t="s">
        <v>26</v>
      </c>
      <c r="L4" s="23" t="s">
        <v>26</v>
      </c>
      <c r="M4" s="23" t="s">
        <v>26</v>
      </c>
      <c r="N4" s="2"/>
      <c r="O4" s="2">
        <v>6618.5515627576269</v>
      </c>
      <c r="P4" s="23" t="s">
        <v>26</v>
      </c>
    </row>
    <row r="5" spans="1:16" x14ac:dyDescent="0.25">
      <c r="A5" s="19">
        <v>1991</v>
      </c>
      <c r="B5" s="22">
        <v>6219267</v>
      </c>
      <c r="C5" s="23" t="s">
        <v>26</v>
      </c>
      <c r="D5" s="23" t="s">
        <v>26</v>
      </c>
      <c r="E5" s="23" t="s">
        <v>26</v>
      </c>
      <c r="F5" s="23" t="s">
        <v>26</v>
      </c>
      <c r="G5" s="23" t="s">
        <v>26</v>
      </c>
      <c r="H5" s="23" t="s">
        <v>26</v>
      </c>
      <c r="I5" s="23" t="s">
        <v>26</v>
      </c>
      <c r="J5" s="23" t="s">
        <v>26</v>
      </c>
      <c r="K5" s="23" t="s">
        <v>26</v>
      </c>
      <c r="L5" s="23" t="s">
        <v>26</v>
      </c>
      <c r="M5" s="23" t="s">
        <v>26</v>
      </c>
      <c r="N5" s="2"/>
      <c r="O5" s="2">
        <v>6794.4341985319115</v>
      </c>
      <c r="P5" s="29">
        <f xml:space="preserve"> O5/O4-1</f>
        <v>2.6574188341142557E-2</v>
      </c>
    </row>
    <row r="6" spans="1:16" x14ac:dyDescent="0.25">
      <c r="A6" s="19">
        <v>1992</v>
      </c>
      <c r="B6" s="22">
        <v>5848477</v>
      </c>
      <c r="C6" s="23" t="s">
        <v>26</v>
      </c>
      <c r="D6" s="23" t="s">
        <v>26</v>
      </c>
      <c r="E6" s="23" t="s">
        <v>26</v>
      </c>
      <c r="F6" s="23" t="s">
        <v>26</v>
      </c>
      <c r="G6" s="23" t="s">
        <v>26</v>
      </c>
      <c r="H6" s="23" t="s">
        <v>26</v>
      </c>
      <c r="I6" s="23" t="s">
        <v>26</v>
      </c>
      <c r="J6" s="23" t="s">
        <v>26</v>
      </c>
      <c r="K6" s="23" t="s">
        <v>26</v>
      </c>
      <c r="L6" s="23" t="s">
        <v>26</v>
      </c>
      <c r="M6" s="23" t="s">
        <v>26</v>
      </c>
      <c r="N6" s="2"/>
      <c r="O6" s="2">
        <v>6797.7767867081066</v>
      </c>
      <c r="P6" s="29">
        <f t="shared" ref="P6:P33" si="0" xml:space="preserve"> O6/O5-1</f>
        <v>4.9195975389926261E-4</v>
      </c>
    </row>
    <row r="7" spans="1:16" x14ac:dyDescent="0.25">
      <c r="A7" s="19">
        <v>1993</v>
      </c>
      <c r="B7" s="22">
        <v>6174423</v>
      </c>
      <c r="C7" s="23" t="s">
        <v>26</v>
      </c>
      <c r="D7" s="23" t="s">
        <v>26</v>
      </c>
      <c r="E7" s="23" t="s">
        <v>26</v>
      </c>
      <c r="F7" s="23" t="s">
        <v>26</v>
      </c>
      <c r="G7" s="23" t="s">
        <v>26</v>
      </c>
      <c r="H7" s="23" t="s">
        <v>26</v>
      </c>
      <c r="I7" s="23" t="s">
        <v>26</v>
      </c>
      <c r="J7" s="23" t="s">
        <v>26</v>
      </c>
      <c r="K7" s="23" t="s">
        <v>26</v>
      </c>
      <c r="L7" s="23" t="s">
        <v>26</v>
      </c>
      <c r="M7" s="23" t="s">
        <v>26</v>
      </c>
      <c r="N7" s="2"/>
      <c r="O7" s="2">
        <v>7184.5531140846133</v>
      </c>
      <c r="P7" s="29">
        <f t="shared" si="0"/>
        <v>5.6897473911291296E-2</v>
      </c>
    </row>
    <row r="8" spans="1:16" x14ac:dyDescent="0.25">
      <c r="A8" s="19">
        <v>1994</v>
      </c>
      <c r="B8" s="22">
        <v>6335436</v>
      </c>
      <c r="C8" s="23" t="s">
        <v>26</v>
      </c>
      <c r="D8" s="23" t="s">
        <v>26</v>
      </c>
      <c r="E8" s="23" t="s">
        <v>26</v>
      </c>
      <c r="F8" s="23" t="s">
        <v>26</v>
      </c>
      <c r="G8" s="23" t="s">
        <v>26</v>
      </c>
      <c r="H8" s="23" t="s">
        <v>26</v>
      </c>
      <c r="I8" s="23" t="s">
        <v>26</v>
      </c>
      <c r="J8" s="23" t="s">
        <v>26</v>
      </c>
      <c r="K8" s="23" t="s">
        <v>26</v>
      </c>
      <c r="L8" s="23" t="s">
        <v>26</v>
      </c>
      <c r="M8" s="23" t="s">
        <v>26</v>
      </c>
      <c r="N8" s="2"/>
      <c r="O8" s="2">
        <v>7644.9011017558942</v>
      </c>
      <c r="P8" s="29">
        <f t="shared" si="0"/>
        <v>6.4074686394733904E-2</v>
      </c>
    </row>
    <row r="9" spans="1:16" x14ac:dyDescent="0.25">
      <c r="A9" s="19">
        <v>1995</v>
      </c>
      <c r="B9" s="22">
        <v>7358957</v>
      </c>
      <c r="C9" s="23" t="s">
        <v>26</v>
      </c>
      <c r="D9" s="23" t="s">
        <v>26</v>
      </c>
      <c r="E9" s="23" t="s">
        <v>26</v>
      </c>
      <c r="F9" s="23" t="s">
        <v>26</v>
      </c>
      <c r="G9" s="23" t="s">
        <v>26</v>
      </c>
      <c r="H9" s="23" t="s">
        <v>26</v>
      </c>
      <c r="I9" s="23" t="s">
        <v>26</v>
      </c>
      <c r="J9" s="23" t="s">
        <v>26</v>
      </c>
      <c r="K9" s="23" t="s">
        <v>26</v>
      </c>
      <c r="L9" s="23" t="s">
        <v>26</v>
      </c>
      <c r="M9" s="23" t="s">
        <v>26</v>
      </c>
      <c r="N9" s="2"/>
      <c r="O9" s="2">
        <v>8008.7572657972541</v>
      </c>
      <c r="P9" s="29">
        <f t="shared" si="0"/>
        <v>4.7594620152481726E-2</v>
      </c>
    </row>
    <row r="10" spans="1:16" x14ac:dyDescent="0.25">
      <c r="A10" s="19">
        <v>1996</v>
      </c>
      <c r="B10" s="22">
        <v>7856655</v>
      </c>
      <c r="C10" s="23" t="s">
        <v>26</v>
      </c>
      <c r="D10" s="23" t="s">
        <v>26</v>
      </c>
      <c r="E10" s="23" t="s">
        <v>26</v>
      </c>
      <c r="F10" s="23" t="s">
        <v>26</v>
      </c>
      <c r="G10" s="23" t="s">
        <v>26</v>
      </c>
      <c r="H10" s="23" t="s">
        <v>26</v>
      </c>
      <c r="I10" s="23" t="s">
        <v>26</v>
      </c>
      <c r="J10" s="23" t="s">
        <v>26</v>
      </c>
      <c r="K10" s="23" t="s">
        <v>26</v>
      </c>
      <c r="L10" s="23" t="s">
        <v>26</v>
      </c>
      <c r="M10" s="23" t="s">
        <v>26</v>
      </c>
      <c r="N10" s="2"/>
      <c r="O10" s="2">
        <v>8208.9189933811067</v>
      </c>
      <c r="P10" s="29">
        <f t="shared" si="0"/>
        <v>2.4992857311168182E-2</v>
      </c>
    </row>
    <row r="11" spans="1:16" x14ac:dyDescent="0.25">
      <c r="A11" s="19">
        <v>1997</v>
      </c>
      <c r="B11" s="22">
        <v>8841732</v>
      </c>
      <c r="C11" s="23" t="s">
        <v>26</v>
      </c>
      <c r="D11" s="23" t="s">
        <v>26</v>
      </c>
      <c r="E11" s="23" t="s">
        <v>26</v>
      </c>
      <c r="F11" s="23" t="s">
        <v>26</v>
      </c>
      <c r="G11" s="23" t="s">
        <v>26</v>
      </c>
      <c r="H11" s="23" t="s">
        <v>26</v>
      </c>
      <c r="I11" s="23" t="s">
        <v>26</v>
      </c>
      <c r="J11" s="23" t="s">
        <v>26</v>
      </c>
      <c r="K11" s="23" t="s">
        <v>26</v>
      </c>
      <c r="L11" s="23" t="s">
        <v>26</v>
      </c>
      <c r="M11" s="23" t="s">
        <v>26</v>
      </c>
      <c r="N11" s="2"/>
      <c r="O11" s="2">
        <v>8505.4075313502854</v>
      </c>
      <c r="P11" s="29">
        <f t="shared" si="0"/>
        <v>3.6117854032697627E-2</v>
      </c>
    </row>
    <row r="12" spans="1:16" x14ac:dyDescent="0.25">
      <c r="A12" s="19">
        <v>1998</v>
      </c>
      <c r="B12" s="22">
        <v>9689841</v>
      </c>
      <c r="C12" s="23" t="s">
        <v>26</v>
      </c>
      <c r="D12" s="23" t="s">
        <v>26</v>
      </c>
      <c r="E12" s="23" t="s">
        <v>26</v>
      </c>
      <c r="F12" s="23" t="s">
        <v>26</v>
      </c>
      <c r="G12" s="23" t="s">
        <v>26</v>
      </c>
      <c r="H12" s="23" t="s">
        <v>26</v>
      </c>
      <c r="I12" s="23" t="s">
        <v>26</v>
      </c>
      <c r="J12" s="23" t="s">
        <v>26</v>
      </c>
      <c r="K12" s="23" t="s">
        <v>26</v>
      </c>
      <c r="L12" s="23" t="s">
        <v>26</v>
      </c>
      <c r="M12" s="23" t="s">
        <v>26</v>
      </c>
      <c r="N12" s="2"/>
      <c r="O12" s="2">
        <v>8504.2836248700423</v>
      </c>
      <c r="P12" s="29">
        <f t="shared" si="0"/>
        <v>-1.3214022680285709E-4</v>
      </c>
    </row>
    <row r="13" spans="1:16" x14ac:dyDescent="0.25">
      <c r="A13" s="19">
        <v>1999</v>
      </c>
      <c r="B13" s="22">
        <v>9032190</v>
      </c>
      <c r="C13" s="23" t="s">
        <v>26</v>
      </c>
      <c r="D13" s="23" t="s">
        <v>26</v>
      </c>
      <c r="E13" s="23" t="s">
        <v>26</v>
      </c>
      <c r="F13" s="23" t="s">
        <v>26</v>
      </c>
      <c r="G13" s="23" t="s">
        <v>26</v>
      </c>
      <c r="H13" s="23" t="s">
        <v>26</v>
      </c>
      <c r="I13" s="23" t="s">
        <v>26</v>
      </c>
      <c r="J13" s="23" t="s">
        <v>26</v>
      </c>
      <c r="K13" s="23" t="s">
        <v>26</v>
      </c>
      <c r="L13" s="23" t="s">
        <v>26</v>
      </c>
      <c r="M13" s="23" t="s">
        <v>26</v>
      </c>
      <c r="N13" s="2"/>
      <c r="O13" s="2">
        <v>8542.7931551679321</v>
      </c>
      <c r="P13" s="29">
        <f t="shared" si="0"/>
        <v>4.528250937594791E-3</v>
      </c>
    </row>
    <row r="14" spans="1:16" x14ac:dyDescent="0.25">
      <c r="A14" s="19">
        <v>2000</v>
      </c>
      <c r="B14" s="22">
        <v>9613310</v>
      </c>
      <c r="C14" s="2">
        <v>53.376022031000005</v>
      </c>
      <c r="D14" s="2">
        <f xml:space="preserve"> ((C14*10^3)*90)/10^3</f>
        <v>4803.8419827900007</v>
      </c>
      <c r="E14" s="2">
        <v>1954.6397572020001</v>
      </c>
      <c r="F14" s="2">
        <f xml:space="preserve"> (($E14*10^3)/90)</f>
        <v>21718.219524466669</v>
      </c>
      <c r="G14" s="2">
        <f xml:space="preserve"> SUM(D14,E14)</f>
        <v>6758.4817399920012</v>
      </c>
      <c r="H14" s="2">
        <f xml:space="preserve"> ($C14*10^3) + F14</f>
        <v>75094.24155546668</v>
      </c>
      <c r="I14" s="25">
        <v>4627</v>
      </c>
      <c r="J14" s="2">
        <f t="shared" ref="J14:J37" si="1" xml:space="preserve"> (807.5*48.2*I14)*10^3</f>
        <v>180089780500</v>
      </c>
      <c r="K14" s="2">
        <f>J14/(G14*10^6)</f>
        <v>26.646484732562602</v>
      </c>
      <c r="L14" s="2">
        <f>J14/(H14*10^6)</f>
        <v>2.3981836259306344</v>
      </c>
      <c r="M14" s="2">
        <f xml:space="preserve"> ((B14*10^6)/J14)</f>
        <v>53.380652546244846</v>
      </c>
      <c r="N14" s="2"/>
      <c r="O14" s="2">
        <v>8995.8518938602974</v>
      </c>
      <c r="P14" s="29">
        <f t="shared" si="0"/>
        <v>5.3034028854870296E-2</v>
      </c>
    </row>
    <row r="15" spans="1:16" x14ac:dyDescent="0.25">
      <c r="A15" s="19">
        <v>2001</v>
      </c>
      <c r="B15" s="22">
        <v>9884459</v>
      </c>
      <c r="C15" s="2">
        <v>51.345035597000006</v>
      </c>
      <c r="D15" s="2">
        <f t="shared" ref="D15:D37" si="2" xml:space="preserve"> ((C15*10^3)*90)/10^3</f>
        <v>4621.0532037300009</v>
      </c>
      <c r="E15" s="2">
        <v>1909.8107487010002</v>
      </c>
      <c r="F15" s="2">
        <f t="shared" ref="F15:F37" si="3" xml:space="preserve"> (($E15*10^3)/90)</f>
        <v>21220.119430011113</v>
      </c>
      <c r="G15" s="2">
        <f t="shared" ref="G15:G37" si="4" xml:space="preserve"> SUM(D15,E15)</f>
        <v>6530.8639524310011</v>
      </c>
      <c r="H15" s="2">
        <f t="shared" ref="H15:H37" si="5" xml:space="preserve"> ($C15*10^3) + F15</f>
        <v>72565.155027011118</v>
      </c>
      <c r="I15" s="25">
        <v>4659</v>
      </c>
      <c r="J15" s="2">
        <f t="shared" si="1"/>
        <v>181335268500</v>
      </c>
      <c r="K15" s="2">
        <f t="shared" ref="K15:K37" si="6">J15/(G15*10^6)</f>
        <v>27.765892816141285</v>
      </c>
      <c r="L15" s="2">
        <f t="shared" ref="L15:L37" si="7">J15/(H15*10^6)</f>
        <v>2.4989303534527156</v>
      </c>
      <c r="M15" s="2">
        <f t="shared" ref="M15:M37" si="8" xml:space="preserve"> ((B15*10^6)/J15)</f>
        <v>54.509302474714126</v>
      </c>
      <c r="N15" s="2"/>
      <c r="O15" s="2">
        <v>9203.8973385578374</v>
      </c>
      <c r="P15" s="29">
        <f t="shared" si="0"/>
        <v>2.3126819688920275E-2</v>
      </c>
    </row>
    <row r="16" spans="1:16" x14ac:dyDescent="0.25">
      <c r="A16" s="19">
        <v>2002</v>
      </c>
      <c r="B16" s="22">
        <v>9469108</v>
      </c>
      <c r="C16" s="2">
        <v>50.254793960999997</v>
      </c>
      <c r="D16" s="2">
        <f t="shared" si="2"/>
        <v>4522.9314564899996</v>
      </c>
      <c r="E16" s="2">
        <v>2089.6552224759998</v>
      </c>
      <c r="F16" s="2">
        <f t="shared" si="3"/>
        <v>23218.391360844442</v>
      </c>
      <c r="G16" s="2">
        <f t="shared" si="4"/>
        <v>6612.5866789659995</v>
      </c>
      <c r="H16" s="2">
        <f t="shared" si="5"/>
        <v>73473.185321844445</v>
      </c>
      <c r="I16" s="25">
        <v>4664</v>
      </c>
      <c r="J16" s="2">
        <f t="shared" si="1"/>
        <v>181529876000</v>
      </c>
      <c r="K16" s="2">
        <f t="shared" si="6"/>
        <v>27.45217337981051</v>
      </c>
      <c r="L16" s="2">
        <f t="shared" si="7"/>
        <v>2.4706956041829455</v>
      </c>
      <c r="M16" s="2">
        <f t="shared" si="8"/>
        <v>52.162807625120614</v>
      </c>
      <c r="N16" s="2"/>
      <c r="O16" s="2">
        <v>9511.453991252265</v>
      </c>
      <c r="P16" s="29">
        <f t="shared" si="0"/>
        <v>3.3415915169542565E-2</v>
      </c>
    </row>
    <row r="17" spans="1:16" x14ac:dyDescent="0.25">
      <c r="A17" s="19">
        <v>2003</v>
      </c>
      <c r="B17" s="22">
        <v>6771222</v>
      </c>
      <c r="C17" s="2">
        <v>50.301464779999996</v>
      </c>
      <c r="D17" s="2">
        <f t="shared" si="2"/>
        <v>4527.1318302</v>
      </c>
      <c r="E17" s="2">
        <v>1995.6600105060002</v>
      </c>
      <c r="F17" s="2">
        <f t="shared" si="3"/>
        <v>22174.000116733336</v>
      </c>
      <c r="G17" s="2">
        <f t="shared" si="4"/>
        <v>6522.7918407060006</v>
      </c>
      <c r="H17" s="2">
        <f t="shared" si="5"/>
        <v>72475.464896733334</v>
      </c>
      <c r="I17" s="25">
        <v>4032</v>
      </c>
      <c r="J17" s="2">
        <f t="shared" si="1"/>
        <v>156931488000</v>
      </c>
      <c r="K17" s="2">
        <f t="shared" si="6"/>
        <v>24.058944671613862</v>
      </c>
      <c r="L17" s="2">
        <f t="shared" si="7"/>
        <v>2.1653050204452478</v>
      </c>
      <c r="M17" s="2">
        <f t="shared" si="8"/>
        <v>43.147631404603771</v>
      </c>
      <c r="N17" s="2"/>
      <c r="O17" s="2">
        <v>9694.2657061455266</v>
      </c>
      <c r="P17" s="29">
        <f t="shared" si="0"/>
        <v>1.9220164978077436E-2</v>
      </c>
    </row>
    <row r="18" spans="1:16" x14ac:dyDescent="0.25">
      <c r="A18" s="19">
        <v>2004</v>
      </c>
      <c r="B18" s="22">
        <v>7226139</v>
      </c>
      <c r="C18" s="2">
        <v>55.928460839000003</v>
      </c>
      <c r="D18" s="2">
        <f t="shared" si="2"/>
        <v>5033.5614755100005</v>
      </c>
      <c r="E18" s="2">
        <v>2332.9972381140001</v>
      </c>
      <c r="F18" s="2">
        <f t="shared" si="3"/>
        <v>25922.191534600002</v>
      </c>
      <c r="G18" s="2">
        <f t="shared" si="4"/>
        <v>7366.558713624001</v>
      </c>
      <c r="H18" s="2">
        <f t="shared" si="5"/>
        <v>81850.652373600009</v>
      </c>
      <c r="I18" s="25">
        <v>4225</v>
      </c>
      <c r="J18" s="2">
        <f t="shared" si="1"/>
        <v>164443337500</v>
      </c>
      <c r="K18" s="2">
        <f t="shared" si="6"/>
        <v>22.322952126326239</v>
      </c>
      <c r="L18" s="2">
        <f t="shared" si="7"/>
        <v>2.0090656913693619</v>
      </c>
      <c r="M18" s="2">
        <f t="shared" si="8"/>
        <v>43.943032961125589</v>
      </c>
      <c r="N18" s="2"/>
      <c r="O18" s="2">
        <v>10409.076253461599</v>
      </c>
      <c r="P18" s="29">
        <f t="shared" si="0"/>
        <v>7.3735398738135505E-2</v>
      </c>
    </row>
    <row r="19" spans="1:16" x14ac:dyDescent="0.25">
      <c r="A19" s="19">
        <v>2005</v>
      </c>
      <c r="B19" s="22">
        <v>7843446</v>
      </c>
      <c r="C19" s="2">
        <v>66.813820539999995</v>
      </c>
      <c r="D19" s="2">
        <f t="shared" si="2"/>
        <v>6013.2438486000001</v>
      </c>
      <c r="E19" s="2">
        <v>2248.3734151509998</v>
      </c>
      <c r="F19" s="2">
        <f t="shared" si="3"/>
        <v>24981.926835011112</v>
      </c>
      <c r="G19" s="2">
        <f t="shared" si="4"/>
        <v>8261.617263750999</v>
      </c>
      <c r="H19" s="2">
        <f t="shared" si="5"/>
        <v>91795.747375011109</v>
      </c>
      <c r="I19" s="25">
        <v>4465.1662401639551</v>
      </c>
      <c r="J19" s="2">
        <f t="shared" si="1"/>
        <v>173790967816.54138</v>
      </c>
      <c r="K19" s="2">
        <f t="shared" si="6"/>
        <v>21.035950016599482</v>
      </c>
      <c r="L19" s="2">
        <f t="shared" si="7"/>
        <v>1.893235501493953</v>
      </c>
      <c r="M19" s="2">
        <f t="shared" si="8"/>
        <v>45.131493877632131</v>
      </c>
      <c r="N19" s="2"/>
      <c r="O19" s="2">
        <v>10956.122921052456</v>
      </c>
      <c r="P19" s="29">
        <f t="shared" si="0"/>
        <v>5.2554775685203836E-2</v>
      </c>
    </row>
    <row r="20" spans="1:16" x14ac:dyDescent="0.25">
      <c r="A20" s="19">
        <v>2006</v>
      </c>
      <c r="B20" s="22">
        <v>7357328</v>
      </c>
      <c r="C20" s="2">
        <v>72.203881308000007</v>
      </c>
      <c r="D20" s="2">
        <f t="shared" si="2"/>
        <v>6498.3493177200007</v>
      </c>
      <c r="E20" s="2">
        <v>2006.9671482210001</v>
      </c>
      <c r="F20" s="2">
        <f t="shared" si="3"/>
        <v>22299.634980233335</v>
      </c>
      <c r="G20" s="2">
        <f t="shared" si="4"/>
        <v>8505.3164659410013</v>
      </c>
      <c r="H20" s="2">
        <f t="shared" si="5"/>
        <v>94503.516288233339</v>
      </c>
      <c r="I20" s="25">
        <v>4465</v>
      </c>
      <c r="J20" s="2">
        <f t="shared" si="1"/>
        <v>173784497500</v>
      </c>
      <c r="K20" s="2">
        <f t="shared" si="6"/>
        <v>20.432455182109798</v>
      </c>
      <c r="L20" s="2">
        <f t="shared" si="7"/>
        <v>1.838920966389882</v>
      </c>
      <c r="M20" s="2">
        <f t="shared" si="8"/>
        <v>42.335928151473922</v>
      </c>
      <c r="N20" s="2"/>
      <c r="O20" s="2">
        <v>11615.640461704083</v>
      </c>
      <c r="P20" s="29">
        <f t="shared" si="0"/>
        <v>6.0196252397309857E-2</v>
      </c>
    </row>
    <row r="21" spans="1:16" x14ac:dyDescent="0.25">
      <c r="A21" s="19">
        <v>2007</v>
      </c>
      <c r="B21" s="22">
        <v>8078248</v>
      </c>
      <c r="C21" s="2">
        <v>79.406448315000006</v>
      </c>
      <c r="D21" s="2">
        <f t="shared" si="2"/>
        <v>7146.5803483500003</v>
      </c>
      <c r="E21" s="2">
        <v>1995.1700248130001</v>
      </c>
      <c r="F21" s="2">
        <f t="shared" si="3"/>
        <v>22168.555831255559</v>
      </c>
      <c r="G21" s="2">
        <f t="shared" si="4"/>
        <v>9141.7503731630004</v>
      </c>
      <c r="H21" s="2">
        <f t="shared" si="5"/>
        <v>101575.00414625555</v>
      </c>
      <c r="I21" s="25">
        <v>4891.6397550000002</v>
      </c>
      <c r="J21" s="2">
        <f t="shared" si="1"/>
        <v>190389956724.23248</v>
      </c>
      <c r="K21" s="2">
        <f t="shared" si="6"/>
        <v>20.826422616302363</v>
      </c>
      <c r="L21" s="2">
        <f t="shared" si="7"/>
        <v>1.8743780354672128</v>
      </c>
      <c r="M21" s="2">
        <f t="shared" si="8"/>
        <v>42.430011220081418</v>
      </c>
      <c r="N21" s="2"/>
      <c r="O21" s="2">
        <v>12524.568040644308</v>
      </c>
      <c r="P21" s="29">
        <f t="shared" si="0"/>
        <v>7.8250319639015409E-2</v>
      </c>
    </row>
    <row r="22" spans="1:16" x14ac:dyDescent="0.25">
      <c r="A22" s="19">
        <v>2008</v>
      </c>
      <c r="B22" s="22">
        <v>8634019</v>
      </c>
      <c r="C22" s="2">
        <v>86.714153589999995</v>
      </c>
      <c r="D22" s="2">
        <f t="shared" si="2"/>
        <v>7804.2738231000003</v>
      </c>
      <c r="E22" s="2">
        <v>1885.166983998</v>
      </c>
      <c r="F22" s="2">
        <f t="shared" si="3"/>
        <v>20946.299822199999</v>
      </c>
      <c r="G22" s="2">
        <f t="shared" si="4"/>
        <v>9689.4408070980007</v>
      </c>
      <c r="H22" s="2">
        <f t="shared" si="5"/>
        <v>107660.4534122</v>
      </c>
      <c r="I22" s="25">
        <v>5385.0270299999993</v>
      </c>
      <c r="J22" s="2">
        <f t="shared" si="1"/>
        <v>209593329548.14496</v>
      </c>
      <c r="K22" s="2">
        <f t="shared" si="6"/>
        <v>21.631106863732253</v>
      </c>
      <c r="L22" s="2">
        <f t="shared" si="7"/>
        <v>1.946799617735903</v>
      </c>
      <c r="M22" s="2">
        <f t="shared" si="8"/>
        <v>41.194149730880198</v>
      </c>
      <c r="N22" s="2"/>
      <c r="O22" s="2">
        <v>13284.394689893365</v>
      </c>
      <c r="P22" s="29">
        <f t="shared" si="0"/>
        <v>6.0666894601338228E-2</v>
      </c>
    </row>
    <row r="23" spans="1:16" x14ac:dyDescent="0.25">
      <c r="A23" s="19">
        <v>2009</v>
      </c>
      <c r="B23" s="22">
        <v>8684615</v>
      </c>
      <c r="C23" s="2">
        <v>94.356428561000001</v>
      </c>
      <c r="D23" s="2">
        <f t="shared" si="2"/>
        <v>8492.0785704900009</v>
      </c>
      <c r="E23" s="2">
        <v>1665.548948659</v>
      </c>
      <c r="F23" s="2">
        <f t="shared" si="3"/>
        <v>18506.099429544443</v>
      </c>
      <c r="G23" s="2">
        <f t="shared" si="4"/>
        <v>10157.627519149</v>
      </c>
      <c r="H23" s="2">
        <f t="shared" si="5"/>
        <v>112862.52799054445</v>
      </c>
      <c r="I23" s="25">
        <v>5475.6</v>
      </c>
      <c r="J23" s="2">
        <f t="shared" si="1"/>
        <v>213118565400</v>
      </c>
      <c r="K23" s="2">
        <f t="shared" si="6"/>
        <v>20.981136096813181</v>
      </c>
      <c r="L23" s="2">
        <f t="shared" si="7"/>
        <v>1.8883022487131862</v>
      </c>
      <c r="M23" s="2">
        <f t="shared" si="8"/>
        <v>40.750157001572987</v>
      </c>
      <c r="N23" s="2"/>
      <c r="O23" s="2">
        <v>13222.877694285769</v>
      </c>
      <c r="P23" s="29">
        <f t="shared" si="0"/>
        <v>-4.6307714460183114E-3</v>
      </c>
    </row>
    <row r="24" spans="1:16" x14ac:dyDescent="0.25">
      <c r="A24" s="19">
        <v>2010</v>
      </c>
      <c r="B24" s="22">
        <v>9792808</v>
      </c>
      <c r="C24" s="2">
        <v>114.38383960199999</v>
      </c>
      <c r="D24" s="2">
        <f t="shared" si="2"/>
        <v>10294.54556418</v>
      </c>
      <c r="E24" s="2">
        <v>2322.8588367319999</v>
      </c>
      <c r="F24" s="2">
        <f t="shared" si="3"/>
        <v>25809.542630355551</v>
      </c>
      <c r="G24" s="2">
        <f t="shared" si="4"/>
        <v>12617.404400912001</v>
      </c>
      <c r="H24" s="2">
        <f t="shared" si="5"/>
        <v>140193.38223235554</v>
      </c>
      <c r="I24" s="25">
        <v>6283.2124372428034</v>
      </c>
      <c r="J24" s="2">
        <f t="shared" si="1"/>
        <v>244552052876.14578</v>
      </c>
      <c r="K24" s="2">
        <f t="shared" si="6"/>
        <v>19.38212053015193</v>
      </c>
      <c r="L24" s="2">
        <f t="shared" si="7"/>
        <v>1.744390847713674</v>
      </c>
      <c r="M24" s="2">
        <f t="shared" si="8"/>
        <v>40.043859312682201</v>
      </c>
      <c r="N24" s="2"/>
      <c r="O24" s="2">
        <v>14256.559467777579</v>
      </c>
      <c r="P24" s="29">
        <f t="shared" si="0"/>
        <v>7.8173737774078544E-2</v>
      </c>
    </row>
    <row r="25" spans="1:16" x14ac:dyDescent="0.25">
      <c r="A25" s="19">
        <v>2011</v>
      </c>
      <c r="B25" s="22">
        <v>10946043</v>
      </c>
      <c r="C25" s="2">
        <v>132.39551621300001</v>
      </c>
      <c r="D25" s="2">
        <f t="shared" si="2"/>
        <v>11915.596459169999</v>
      </c>
      <c r="E25" s="2">
        <v>2724.3433670599998</v>
      </c>
      <c r="F25" s="2">
        <f t="shared" si="3"/>
        <v>30270.481856222217</v>
      </c>
      <c r="G25" s="2">
        <f t="shared" si="4"/>
        <v>14639.939826229998</v>
      </c>
      <c r="H25" s="2">
        <f t="shared" si="5"/>
        <v>162665.9980692222</v>
      </c>
      <c r="I25" s="25">
        <v>6979.3550269999996</v>
      </c>
      <c r="J25" s="2">
        <f t="shared" si="1"/>
        <v>271646966683.38049</v>
      </c>
      <c r="K25" s="2">
        <f t="shared" si="6"/>
        <v>18.55519694122497</v>
      </c>
      <c r="L25" s="2">
        <f t="shared" si="7"/>
        <v>1.6699677247102473</v>
      </c>
      <c r="M25" s="2">
        <f t="shared" si="8"/>
        <v>40.295104832730253</v>
      </c>
      <c r="N25" s="2"/>
      <c r="O25" s="2">
        <v>14989.157783757355</v>
      </c>
      <c r="P25" s="29">
        <f t="shared" si="0"/>
        <v>5.1386754120836819E-2</v>
      </c>
    </row>
    <row r="26" spans="1:16" x14ac:dyDescent="0.25">
      <c r="A26" s="19">
        <v>2012</v>
      </c>
      <c r="B26" s="22">
        <v>11542125</v>
      </c>
      <c r="C26" s="2">
        <v>142.116167856</v>
      </c>
      <c r="D26" s="2">
        <f t="shared" si="2"/>
        <v>12790.455107040001</v>
      </c>
      <c r="E26" s="2">
        <v>2555.843214343</v>
      </c>
      <c r="F26" s="2">
        <f t="shared" si="3"/>
        <v>28398.257937144448</v>
      </c>
      <c r="G26" s="2">
        <f t="shared" si="4"/>
        <v>15346.298321383001</v>
      </c>
      <c r="H26" s="2">
        <f t="shared" si="5"/>
        <v>170514.42579314447</v>
      </c>
      <c r="I26" s="25">
        <v>7320.6630000000005</v>
      </c>
      <c r="J26" s="2">
        <f t="shared" si="1"/>
        <v>284931184954.5</v>
      </c>
      <c r="K26" s="2">
        <f t="shared" si="6"/>
        <v>18.566769587522401</v>
      </c>
      <c r="L26" s="2">
        <f t="shared" si="7"/>
        <v>1.6710092628770161</v>
      </c>
      <c r="M26" s="2">
        <f t="shared" si="8"/>
        <v>40.508465234660555</v>
      </c>
      <c r="N26" s="2"/>
      <c r="O26" s="2">
        <v>14962.368438952964</v>
      </c>
      <c r="P26" s="29">
        <f t="shared" si="0"/>
        <v>-1.7872481690345277E-3</v>
      </c>
    </row>
    <row r="27" spans="1:16" x14ac:dyDescent="0.25">
      <c r="A27" s="19">
        <v>2013</v>
      </c>
      <c r="B27" s="22">
        <v>11078881</v>
      </c>
      <c r="C27" s="2">
        <v>146.64017536899999</v>
      </c>
      <c r="D27" s="2">
        <f t="shared" si="2"/>
        <v>13197.61578321</v>
      </c>
      <c r="E27" s="2">
        <v>2671.876238754</v>
      </c>
      <c r="F27" s="2">
        <f t="shared" si="3"/>
        <v>29687.513763933333</v>
      </c>
      <c r="G27" s="2">
        <f t="shared" si="4"/>
        <v>15869.492021964001</v>
      </c>
      <c r="H27" s="2">
        <f t="shared" si="5"/>
        <v>176327.68913293333</v>
      </c>
      <c r="I27" s="25">
        <v>7288.478000000001</v>
      </c>
      <c r="J27" s="2">
        <f t="shared" si="1"/>
        <v>283678496477.00006</v>
      </c>
      <c r="K27" s="2">
        <f t="shared" si="6"/>
        <v>17.875713733267446</v>
      </c>
      <c r="L27" s="2">
        <f t="shared" si="7"/>
        <v>1.6088142359940705</v>
      </c>
      <c r="M27" s="2">
        <f t="shared" si="8"/>
        <v>39.054356031875855</v>
      </c>
      <c r="N27" s="2"/>
      <c r="O27" s="2">
        <v>15469.535394491711</v>
      </c>
      <c r="P27" s="29">
        <f t="shared" si="0"/>
        <v>3.3896168083817013E-2</v>
      </c>
    </row>
    <row r="28" spans="1:16" x14ac:dyDescent="0.25">
      <c r="A28" s="19">
        <v>2014</v>
      </c>
      <c r="B28" s="22">
        <v>11206386</v>
      </c>
      <c r="C28" s="2">
        <v>157.39270220499998</v>
      </c>
      <c r="D28" s="2">
        <f t="shared" si="2"/>
        <v>14165.343198449998</v>
      </c>
      <c r="E28" s="2">
        <v>2791.9761928520002</v>
      </c>
      <c r="F28" s="2">
        <f t="shared" si="3"/>
        <v>31021.95769835556</v>
      </c>
      <c r="G28" s="2">
        <f t="shared" si="4"/>
        <v>16957.319391302</v>
      </c>
      <c r="H28" s="2">
        <f t="shared" si="5"/>
        <v>188414.65990335552</v>
      </c>
      <c r="I28" s="25">
        <v>7490.2559999999994</v>
      </c>
      <c r="J28" s="2">
        <f t="shared" si="1"/>
        <v>291531998904</v>
      </c>
      <c r="K28" s="2">
        <f t="shared" si="6"/>
        <v>17.192104021673195</v>
      </c>
      <c r="L28" s="2">
        <f t="shared" si="7"/>
        <v>1.5472893619505879</v>
      </c>
      <c r="M28" s="2">
        <f t="shared" si="8"/>
        <v>38.439643133960764</v>
      </c>
      <c r="N28" s="2"/>
      <c r="O28" s="2">
        <v>15564.800999963552</v>
      </c>
      <c r="P28" s="29">
        <f t="shared" si="0"/>
        <v>6.158271922359182E-3</v>
      </c>
    </row>
    <row r="29" spans="1:16" x14ac:dyDescent="0.25">
      <c r="A29" s="19">
        <v>2015</v>
      </c>
      <c r="B29" s="22">
        <v>11053349</v>
      </c>
      <c r="C29" s="87">
        <f xml:space="preserve"> C28*(1+0.9*Fig_historico_Kaya!P39)</f>
        <v>161.68868634407264</v>
      </c>
      <c r="D29" s="2">
        <f t="shared" si="2"/>
        <v>14551.981770966537</v>
      </c>
      <c r="E29" s="2">
        <v>2728.9560408150001</v>
      </c>
      <c r="F29" s="2">
        <f t="shared" si="3"/>
        <v>30321.733786833334</v>
      </c>
      <c r="G29" s="2">
        <f t="shared" si="4"/>
        <v>17280.937811781536</v>
      </c>
      <c r="H29" s="2">
        <f t="shared" si="5"/>
        <v>192010.42013090596</v>
      </c>
      <c r="I29" s="25">
        <v>7359.5254680851067</v>
      </c>
      <c r="J29" s="2">
        <f t="shared" si="1"/>
        <v>286443770506.07446</v>
      </c>
      <c r="K29" s="2">
        <f t="shared" si="6"/>
        <v>16.575707500711399</v>
      </c>
      <c r="L29" s="2">
        <f t="shared" si="7"/>
        <v>1.4918136750640261</v>
      </c>
      <c r="M29" s="2">
        <f t="shared" si="8"/>
        <v>38.588198236852904</v>
      </c>
      <c r="N29" s="2"/>
      <c r="O29" s="2">
        <v>14567.706061989085</v>
      </c>
      <c r="P29" s="29">
        <f t="shared" si="0"/>
        <v>-6.4060885711086257E-2</v>
      </c>
    </row>
    <row r="30" spans="1:16" x14ac:dyDescent="0.25">
      <c r="A30" s="19">
        <v>2016</v>
      </c>
      <c r="B30" s="22">
        <v>10114162</v>
      </c>
      <c r="C30" s="2">
        <v>151.72646445199999</v>
      </c>
      <c r="D30" s="2">
        <f t="shared" si="2"/>
        <v>13655.381800679999</v>
      </c>
      <c r="E30" s="2">
        <v>2677.9105025569997</v>
      </c>
      <c r="F30" s="2">
        <f t="shared" si="3"/>
        <v>29754.561139522219</v>
      </c>
      <c r="G30" s="2">
        <f t="shared" si="4"/>
        <v>16333.292303236998</v>
      </c>
      <c r="H30" s="2">
        <f t="shared" si="5"/>
        <v>181481.02559152219</v>
      </c>
      <c r="I30" s="25">
        <v>6794.0730000000003</v>
      </c>
      <c r="J30" s="2">
        <f t="shared" si="1"/>
        <v>264435512269.50003</v>
      </c>
      <c r="K30" s="2">
        <f t="shared" si="6"/>
        <v>16.189969992583379</v>
      </c>
      <c r="L30" s="2">
        <f t="shared" si="7"/>
        <v>1.457097299332504</v>
      </c>
      <c r="M30" s="2">
        <f t="shared" si="8"/>
        <v>38.248123004341906</v>
      </c>
      <c r="N30" s="2"/>
      <c r="O30" s="2">
        <v>14057.313247045055</v>
      </c>
      <c r="P30" s="29">
        <f t="shared" si="0"/>
        <v>-3.5035908383391767E-2</v>
      </c>
    </row>
    <row r="31" spans="1:16" x14ac:dyDescent="0.25">
      <c r="A31" s="19">
        <v>2017</v>
      </c>
      <c r="B31" s="22">
        <v>10077449</v>
      </c>
      <c r="C31" s="2">
        <v>156.25581878899999</v>
      </c>
      <c r="D31" s="2">
        <f t="shared" si="2"/>
        <v>14063.023691009997</v>
      </c>
      <c r="E31" s="2">
        <v>2794.038987288</v>
      </c>
      <c r="F31" s="2">
        <f t="shared" si="3"/>
        <v>31044.877636533332</v>
      </c>
      <c r="G31" s="2">
        <f t="shared" si="4"/>
        <v>16857.062678297996</v>
      </c>
      <c r="H31" s="2">
        <f t="shared" si="5"/>
        <v>187300.69642553333</v>
      </c>
      <c r="I31" s="25">
        <v>6694.18</v>
      </c>
      <c r="J31" s="2">
        <f t="shared" si="1"/>
        <v>260547526870</v>
      </c>
      <c r="K31" s="2">
        <f t="shared" si="6"/>
        <v>15.45628273693449</v>
      </c>
      <c r="L31" s="2">
        <f t="shared" si="7"/>
        <v>1.3910654463241039</v>
      </c>
      <c r="M31" s="2">
        <f t="shared" si="8"/>
        <v>38.67796835787329</v>
      </c>
      <c r="N31" s="2"/>
      <c r="O31" s="2">
        <v>14293.604639428509</v>
      </c>
      <c r="P31" s="29">
        <f t="shared" si="0"/>
        <v>1.6809143271608207E-2</v>
      </c>
    </row>
    <row r="32" spans="1:16" x14ac:dyDescent="0.25">
      <c r="A32" s="19">
        <v>2018</v>
      </c>
      <c r="B32" s="22">
        <v>10348324</v>
      </c>
      <c r="C32" s="2">
        <v>167.19784079499999</v>
      </c>
      <c r="D32" s="2">
        <f t="shared" si="2"/>
        <v>15047.805671550001</v>
      </c>
      <c r="E32" s="2">
        <v>3357.9307811150002</v>
      </c>
      <c r="F32" s="2">
        <f t="shared" si="3"/>
        <v>37310.342012388894</v>
      </c>
      <c r="G32" s="2">
        <f t="shared" si="4"/>
        <v>18405.736452665002</v>
      </c>
      <c r="H32" s="2">
        <f t="shared" si="5"/>
        <v>204508.18280738889</v>
      </c>
      <c r="I32" s="25">
        <v>7164.2070000000003</v>
      </c>
      <c r="J32" s="2">
        <f t="shared" si="1"/>
        <v>278841682750.5</v>
      </c>
      <c r="K32" s="2">
        <f t="shared" si="6"/>
        <v>15.149716147876603</v>
      </c>
      <c r="L32" s="2">
        <f t="shared" si="7"/>
        <v>1.3634744533088945</v>
      </c>
      <c r="M32" s="2">
        <f t="shared" si="8"/>
        <v>37.111825957740329</v>
      </c>
      <c r="N32" s="2"/>
      <c r="O32" s="2">
        <v>15165.063152657822</v>
      </c>
      <c r="P32" s="29">
        <f t="shared" si="0"/>
        <v>6.0968421557247909E-2</v>
      </c>
    </row>
    <row r="33" spans="1:22" x14ac:dyDescent="0.25">
      <c r="A33" s="19">
        <v>2019</v>
      </c>
      <c r="B33" s="22">
        <v>10117198</v>
      </c>
      <c r="C33" s="2">
        <v>168.44227433700001</v>
      </c>
      <c r="D33" s="2">
        <f t="shared" si="2"/>
        <v>15159.80469033</v>
      </c>
      <c r="E33" s="2">
        <v>3008.1193706980002</v>
      </c>
      <c r="F33" s="2">
        <f t="shared" si="3"/>
        <v>33423.548563311117</v>
      </c>
      <c r="G33" s="2">
        <f t="shared" si="4"/>
        <v>18167.924061027999</v>
      </c>
      <c r="H33" s="2">
        <f t="shared" si="5"/>
        <v>201865.82290031112</v>
      </c>
      <c r="I33" s="25">
        <v>6980.7759999999998</v>
      </c>
      <c r="J33" s="2">
        <f t="shared" si="1"/>
        <v>271702273084</v>
      </c>
      <c r="K33" s="2">
        <f t="shared" si="6"/>
        <v>14.955053322070425</v>
      </c>
      <c r="L33" s="2">
        <f t="shared" si="7"/>
        <v>1.3459547989863381</v>
      </c>
      <c r="M33" s="2">
        <f t="shared" si="8"/>
        <v>37.236339192760994</v>
      </c>
      <c r="N33" s="2"/>
      <c r="O33" s="2">
        <v>15741.478504874929</v>
      </c>
      <c r="P33" s="29">
        <f t="shared" si="0"/>
        <v>3.8009426430649862E-2</v>
      </c>
    </row>
    <row r="34" spans="1:22" x14ac:dyDescent="0.25">
      <c r="A34" s="19">
        <v>2020</v>
      </c>
      <c r="B34" s="22">
        <v>5814855</v>
      </c>
      <c r="C34" s="2">
        <v>69.440312754999994</v>
      </c>
      <c r="D34" s="2">
        <f t="shared" si="2"/>
        <v>6249.6281479499994</v>
      </c>
      <c r="E34" s="2">
        <v>2414.819966732</v>
      </c>
      <c r="F34" s="2">
        <f t="shared" si="3"/>
        <v>26831.332963688888</v>
      </c>
      <c r="G34" s="2">
        <f t="shared" si="4"/>
        <v>8664.4481146819999</v>
      </c>
      <c r="H34" s="2">
        <f t="shared" si="5"/>
        <v>96271.645718688873</v>
      </c>
      <c r="I34" s="25">
        <v>3546</v>
      </c>
      <c r="J34" s="2">
        <f t="shared" si="1"/>
        <v>138015639000</v>
      </c>
      <c r="K34" s="2">
        <f t="shared" si="6"/>
        <v>15.928959025806968</v>
      </c>
      <c r="L34" s="2">
        <f t="shared" si="7"/>
        <v>1.4336063123226273</v>
      </c>
      <c r="M34" s="2">
        <f t="shared" si="8"/>
        <v>42.131855796428979</v>
      </c>
      <c r="N34" s="2"/>
      <c r="O34" s="2">
        <v>15759.078230080322</v>
      </c>
      <c r="P34" s="29">
        <f xml:space="preserve"> O34/O33-1</f>
        <v>1.1180477869308092E-3</v>
      </c>
    </row>
    <row r="35" spans="1:22" x14ac:dyDescent="0.25">
      <c r="A35" s="19">
        <v>2021</v>
      </c>
      <c r="B35" s="22">
        <v>7712072</v>
      </c>
      <c r="C35" s="2">
        <v>87.453198087000004</v>
      </c>
      <c r="D35" s="2">
        <f t="shared" si="2"/>
        <v>7870.7878278299995</v>
      </c>
      <c r="E35" s="2">
        <v>3276.8287294619995</v>
      </c>
      <c r="F35" s="2">
        <f t="shared" si="3"/>
        <v>36409.20810513333</v>
      </c>
      <c r="G35" s="2">
        <f t="shared" si="4"/>
        <v>11147.616557292</v>
      </c>
      <c r="H35" s="2">
        <f t="shared" si="5"/>
        <v>123862.40619213332</v>
      </c>
      <c r="I35" s="25">
        <v>4385.0780000000004</v>
      </c>
      <c r="J35" s="2">
        <f t="shared" si="1"/>
        <v>170673813377</v>
      </c>
      <c r="K35" s="2">
        <f t="shared" si="6"/>
        <v>15.310341228534362</v>
      </c>
      <c r="L35" s="2">
        <f t="shared" si="7"/>
        <v>1.3779307105680929</v>
      </c>
      <c r="M35" s="2">
        <f t="shared" si="8"/>
        <v>45.186029698445111</v>
      </c>
      <c r="N35" s="2"/>
      <c r="O35" s="2">
        <v>17672.916803465458</v>
      </c>
      <c r="P35" s="29">
        <f xml:space="preserve"> O35/O34-1</f>
        <v>0.12144356068567985</v>
      </c>
    </row>
    <row r="36" spans="1:22" x14ac:dyDescent="0.25">
      <c r="A36" s="19">
        <v>2022</v>
      </c>
      <c r="B36" s="22">
        <v>9552676</v>
      </c>
      <c r="C36" s="2">
        <v>141.30989297159999</v>
      </c>
      <c r="D36" s="2">
        <f t="shared" si="2"/>
        <v>12717.890367443999</v>
      </c>
      <c r="E36" s="2">
        <v>3151.798699765</v>
      </c>
      <c r="F36" s="2">
        <f t="shared" si="3"/>
        <v>35019.985552944447</v>
      </c>
      <c r="G36" s="2">
        <f t="shared" si="4"/>
        <v>15869.689067208999</v>
      </c>
      <c r="H36" s="2">
        <f t="shared" si="5"/>
        <v>176329.87852454445</v>
      </c>
      <c r="I36" s="25">
        <v>5996.2236497344675</v>
      </c>
      <c r="J36" s="2">
        <f t="shared" si="1"/>
        <v>233382018783.14008</v>
      </c>
      <c r="K36" s="2">
        <f t="shared" si="6"/>
        <v>14.706149427046395</v>
      </c>
      <c r="L36" s="2">
        <f t="shared" si="7"/>
        <v>1.3235534484341756</v>
      </c>
      <c r="M36" s="2">
        <f t="shared" si="8"/>
        <v>40.931499563710609</v>
      </c>
      <c r="N36" s="2"/>
      <c r="O36" s="2">
        <v>19398.589813344617</v>
      </c>
      <c r="P36" s="29">
        <f xml:space="preserve"> O36/O35-1</f>
        <v>9.7645059333995921E-2</v>
      </c>
    </row>
    <row r="37" spans="1:22" x14ac:dyDescent="0.25">
      <c r="A37" s="19">
        <v>2023</v>
      </c>
      <c r="B37" s="22">
        <v>10042811</v>
      </c>
      <c r="C37" s="2">
        <v>161.86390288799998</v>
      </c>
      <c r="D37" s="2">
        <f t="shared" si="2"/>
        <v>14567.75125992</v>
      </c>
      <c r="E37" s="2">
        <v>3088.471982299</v>
      </c>
      <c r="F37" s="2">
        <f t="shared" si="3"/>
        <v>34316.35535887778</v>
      </c>
      <c r="G37" s="2">
        <f t="shared" si="4"/>
        <v>17656.223242218999</v>
      </c>
      <c r="H37" s="2">
        <f t="shared" si="5"/>
        <v>196180.25824687775</v>
      </c>
      <c r="I37" s="25">
        <v>6719.3114740089895</v>
      </c>
      <c r="J37" s="2">
        <f t="shared" si="1"/>
        <v>261525681535.6409</v>
      </c>
      <c r="K37" s="2">
        <f t="shared" si="6"/>
        <v>14.812096445987896</v>
      </c>
      <c r="L37" s="2">
        <f t="shared" si="7"/>
        <v>1.3330886801389106</v>
      </c>
      <c r="M37" s="2">
        <f t="shared" si="8"/>
        <v>38.400859682422272</v>
      </c>
      <c r="N37" s="2"/>
      <c r="O37" s="2">
        <v>20584.419166157877</v>
      </c>
      <c r="P37" s="29">
        <f xml:space="preserve"> O37/O36-1</f>
        <v>6.1129667889441519E-2</v>
      </c>
    </row>
    <row r="38" spans="1:22" ht="30" x14ac:dyDescent="0.25">
      <c r="T38" s="102" t="s">
        <v>99</v>
      </c>
      <c r="U38" s="102" t="s">
        <v>100</v>
      </c>
      <c r="V38" s="32"/>
    </row>
    <row r="39" spans="1:22" ht="60" x14ac:dyDescent="0.25">
      <c r="O39" s="4" t="s">
        <v>66</v>
      </c>
      <c r="P39" s="33" cm="1">
        <f t="array" ref="P39">PRODUCT(1+P5:P33)^(1/($A$33-$A$4))-1</f>
        <v>3.0327427150107722E-2</v>
      </c>
      <c r="R39" s="14" t="s">
        <v>95</v>
      </c>
      <c r="S39" s="14" t="s">
        <v>96</v>
      </c>
      <c r="T39" s="14" t="s">
        <v>97</v>
      </c>
      <c r="U39" s="14" t="s">
        <v>98</v>
      </c>
    </row>
    <row r="40" spans="1:22" ht="45" customHeight="1" x14ac:dyDescent="0.25">
      <c r="A40" s="189" t="s">
        <v>0</v>
      </c>
      <c r="B40" s="190" t="s">
        <v>48</v>
      </c>
      <c r="C40" s="4" t="s">
        <v>47</v>
      </c>
      <c r="D40" s="4" t="s">
        <v>57</v>
      </c>
      <c r="E40" s="4" t="s">
        <v>47</v>
      </c>
      <c r="F40" s="4" t="s">
        <v>57</v>
      </c>
      <c r="G40" s="4" t="s">
        <v>14</v>
      </c>
      <c r="H40" s="4"/>
      <c r="I40" s="4" t="s">
        <v>55</v>
      </c>
      <c r="J40" s="4" t="s">
        <v>44</v>
      </c>
      <c r="K40" s="4" t="s">
        <v>14</v>
      </c>
      <c r="L40" s="4" t="s">
        <v>14</v>
      </c>
      <c r="M40" s="4" t="s">
        <v>14</v>
      </c>
      <c r="O40" s="4" t="s">
        <v>15</v>
      </c>
      <c r="R40" s="33" cm="1">
        <f t="array" ref="R40">PRODUCT(1+P15:P27)^(1/($A$27-$A$14))-1</f>
        <v>4.2582384016426333E-2</v>
      </c>
      <c r="S40" s="33" cm="1">
        <f t="array" ref="S40">PRODUCT(1+P26:P33)^(1/($A$33-$A$25))-1</f>
        <v>6.1402804834438385E-3</v>
      </c>
      <c r="T40" s="33" cm="1">
        <f t="array" ref="T40">PRODUCT(1+P25:P27)^(1/($A$27-$A$25))-1</f>
        <v>4.1672670895248176E-2</v>
      </c>
      <c r="U40" s="33" cm="1">
        <f t="array" ref="U40">PRODUCT(1+P28:P33)^(1/($A$33-$A$28))-1</f>
        <v>3.4913887655423359E-3</v>
      </c>
    </row>
    <row r="41" spans="1:22" ht="85.5" customHeight="1" x14ac:dyDescent="0.25">
      <c r="A41" s="189"/>
      <c r="B41" s="190"/>
      <c r="C41" s="188" t="s">
        <v>61</v>
      </c>
      <c r="D41" s="4" t="s">
        <v>58</v>
      </c>
      <c r="E41" s="188" t="s">
        <v>61</v>
      </c>
      <c r="F41" s="4" t="s">
        <v>64</v>
      </c>
      <c r="G41" s="4" t="s">
        <v>58</v>
      </c>
      <c r="H41" s="4" t="s">
        <v>64</v>
      </c>
      <c r="I41" s="188"/>
      <c r="J41" s="4" t="s">
        <v>42</v>
      </c>
      <c r="K41" s="4" t="s">
        <v>16</v>
      </c>
      <c r="L41" s="4" t="s">
        <v>17</v>
      </c>
      <c r="M41" s="4" t="s">
        <v>65</v>
      </c>
      <c r="O41" s="194" t="s">
        <v>46</v>
      </c>
    </row>
    <row r="42" spans="1:22" ht="105" x14ac:dyDescent="0.25">
      <c r="A42" s="189"/>
      <c r="B42" s="190"/>
      <c r="C42" s="188"/>
      <c r="D42" s="4" t="s">
        <v>59</v>
      </c>
      <c r="E42" s="188"/>
      <c r="F42" s="188" t="s">
        <v>62</v>
      </c>
      <c r="G42" s="4" t="s">
        <v>59</v>
      </c>
      <c r="H42" s="188" t="s">
        <v>62</v>
      </c>
      <c r="I42" s="188"/>
      <c r="J42" s="188" t="s">
        <v>43</v>
      </c>
      <c r="K42" s="188" t="s">
        <v>18</v>
      </c>
      <c r="L42" s="188" t="s">
        <v>18</v>
      </c>
      <c r="M42" s="188" t="s">
        <v>19</v>
      </c>
      <c r="O42" s="194"/>
      <c r="P42" s="31"/>
    </row>
    <row r="43" spans="1:22" ht="36" customHeight="1" x14ac:dyDescent="0.25">
      <c r="A43" s="189"/>
      <c r="B43" s="190"/>
      <c r="C43" s="188"/>
      <c r="D43" s="188" t="s">
        <v>60</v>
      </c>
      <c r="E43" s="188"/>
      <c r="F43" s="188"/>
      <c r="G43" s="4" t="s">
        <v>60</v>
      </c>
      <c r="H43" s="188"/>
      <c r="I43" s="188"/>
      <c r="J43" s="188"/>
      <c r="K43" s="188"/>
      <c r="L43" s="188"/>
      <c r="M43" s="188"/>
      <c r="N43" s="4"/>
      <c r="O43" s="4"/>
      <c r="P43" s="31"/>
    </row>
    <row r="44" spans="1:22" x14ac:dyDescent="0.25">
      <c r="A44" s="189"/>
      <c r="B44" s="190"/>
      <c r="C44" s="188"/>
      <c r="D44" s="188"/>
      <c r="E44" s="188"/>
      <c r="F44" s="188"/>
      <c r="G44" s="4" t="s">
        <v>63</v>
      </c>
      <c r="H44" s="188"/>
      <c r="I44" s="188"/>
      <c r="J44" s="188"/>
      <c r="K44" s="188"/>
      <c r="L44" s="188"/>
      <c r="M44" s="188"/>
      <c r="N44" s="4"/>
      <c r="O44" s="4"/>
      <c r="P44" s="31"/>
    </row>
    <row r="47" spans="1:22" x14ac:dyDescent="0.25">
      <c r="A47" t="s">
        <v>20</v>
      </c>
      <c r="B47" t="s">
        <v>21</v>
      </c>
    </row>
    <row r="48" spans="1:22" ht="15.75" thickBot="1" x14ac:dyDescent="0.3">
      <c r="B48" t="s">
        <v>22</v>
      </c>
      <c r="C48">
        <v>0.77743872633051014</v>
      </c>
      <c r="F48" s="185" t="s">
        <v>40</v>
      </c>
      <c r="G48" s="186"/>
      <c r="H48" s="186"/>
      <c r="I48" s="186"/>
      <c r="J48" s="4"/>
      <c r="K48" s="187" t="s">
        <v>27</v>
      </c>
      <c r="L48" t="s">
        <v>41</v>
      </c>
    </row>
    <row r="49" spans="2:11" x14ac:dyDescent="0.25">
      <c r="B49" t="s">
        <v>23</v>
      </c>
      <c r="C49">
        <v>0.2225612736694898</v>
      </c>
      <c r="F49" s="9" t="s">
        <v>29</v>
      </c>
      <c r="G49" s="9" t="s">
        <v>30</v>
      </c>
      <c r="H49" s="9" t="s">
        <v>31</v>
      </c>
      <c r="I49" s="9" t="s">
        <v>32</v>
      </c>
      <c r="J49" s="9"/>
      <c r="K49" s="187"/>
    </row>
    <row r="50" spans="2:11" x14ac:dyDescent="0.25">
      <c r="F50">
        <v>524.04623790000005</v>
      </c>
      <c r="G50">
        <v>425.545662204</v>
      </c>
      <c r="H50">
        <v>0</v>
      </c>
      <c r="I50">
        <v>1005.047857098</v>
      </c>
      <c r="K50">
        <f>SUM(F50:I50)</f>
        <v>1954.6397572020001</v>
      </c>
    </row>
    <row r="51" spans="2:11" x14ac:dyDescent="0.25">
      <c r="B51" t="s">
        <v>24</v>
      </c>
      <c r="F51">
        <v>508.678032976</v>
      </c>
      <c r="G51">
        <v>377.51816633800001</v>
      </c>
      <c r="H51">
        <v>0</v>
      </c>
      <c r="I51">
        <v>1023.614549387</v>
      </c>
      <c r="K51">
        <f t="shared" ref="K51:K73" si="9">SUM(F51:I51)</f>
        <v>1909.8107487010002</v>
      </c>
    </row>
    <row r="52" spans="2:11" x14ac:dyDescent="0.25">
      <c r="B52" t="s">
        <v>22</v>
      </c>
      <c r="C52">
        <v>0.65219805966422129</v>
      </c>
      <c r="F52">
        <v>508.26639697899998</v>
      </c>
      <c r="G52">
        <v>466.07935888100002</v>
      </c>
      <c r="H52">
        <v>0</v>
      </c>
      <c r="I52">
        <v>1115.309466616</v>
      </c>
      <c r="K52">
        <f t="shared" si="9"/>
        <v>2089.6552224759998</v>
      </c>
    </row>
    <row r="53" spans="2:11" x14ac:dyDescent="0.25">
      <c r="B53" t="s">
        <v>23</v>
      </c>
      <c r="C53">
        <v>0.18494693909707469</v>
      </c>
      <c r="F53">
        <v>438.890106661</v>
      </c>
      <c r="G53">
        <v>466.89092508300001</v>
      </c>
      <c r="H53">
        <v>0</v>
      </c>
      <c r="I53">
        <v>1089.8789787620001</v>
      </c>
      <c r="K53">
        <f t="shared" si="9"/>
        <v>1995.6600105060002</v>
      </c>
    </row>
    <row r="54" spans="2:11" x14ac:dyDescent="0.25">
      <c r="F54">
        <v>624.87247252199995</v>
      </c>
      <c r="G54">
        <v>502.03929968800003</v>
      </c>
      <c r="H54">
        <v>0</v>
      </c>
      <c r="I54">
        <v>1206.0854659040001</v>
      </c>
      <c r="K54">
        <f t="shared" si="9"/>
        <v>2332.9972381140001</v>
      </c>
    </row>
    <row r="55" spans="2:11" x14ac:dyDescent="0.25">
      <c r="B55" t="s">
        <v>25</v>
      </c>
      <c r="C55">
        <v>0.29280064679371848</v>
      </c>
      <c r="F55">
        <v>616.29128287399999</v>
      </c>
      <c r="G55">
        <v>491.42022990200002</v>
      </c>
      <c r="H55">
        <v>0</v>
      </c>
      <c r="I55">
        <v>1140.661902375</v>
      </c>
      <c r="K55">
        <f t="shared" si="9"/>
        <v>2248.3734151509998</v>
      </c>
    </row>
    <row r="56" spans="2:11" x14ac:dyDescent="0.25">
      <c r="F56">
        <v>580.89656705100003</v>
      </c>
      <c r="G56">
        <v>278.29086940299999</v>
      </c>
      <c r="H56">
        <v>0</v>
      </c>
      <c r="I56">
        <v>1147.779711767</v>
      </c>
      <c r="K56">
        <f t="shared" si="9"/>
        <v>2006.9671482210001</v>
      </c>
    </row>
    <row r="57" spans="2:11" x14ac:dyDescent="0.25">
      <c r="F57">
        <v>616.67018343100005</v>
      </c>
      <c r="G57">
        <v>213.21854379800001</v>
      </c>
      <c r="H57">
        <v>0</v>
      </c>
      <c r="I57">
        <v>1165.281297584</v>
      </c>
      <c r="K57">
        <f t="shared" si="9"/>
        <v>1995.1700248130001</v>
      </c>
    </row>
    <row r="58" spans="2:11" x14ac:dyDescent="0.25">
      <c r="F58">
        <v>616.08860406400004</v>
      </c>
      <c r="G58">
        <v>85.900357709999994</v>
      </c>
      <c r="H58">
        <v>0</v>
      </c>
      <c r="I58">
        <v>1183.178022224</v>
      </c>
      <c r="K58">
        <f t="shared" si="9"/>
        <v>1885.166983998</v>
      </c>
    </row>
    <row r="59" spans="2:11" x14ac:dyDescent="0.25">
      <c r="F59">
        <v>612.94157292499995</v>
      </c>
      <c r="G59">
        <v>49.620350987999998</v>
      </c>
      <c r="H59">
        <v>0</v>
      </c>
      <c r="I59">
        <v>1002.987024746</v>
      </c>
      <c r="K59">
        <f t="shared" si="9"/>
        <v>1665.548948659</v>
      </c>
    </row>
    <row r="60" spans="2:11" x14ac:dyDescent="0.25">
      <c r="F60">
        <v>727.84118176599998</v>
      </c>
      <c r="G60">
        <v>167.111415118</v>
      </c>
      <c r="H60">
        <v>0</v>
      </c>
      <c r="I60">
        <v>1427.906239848</v>
      </c>
      <c r="K60">
        <f t="shared" si="9"/>
        <v>2322.8588367319999</v>
      </c>
    </row>
    <row r="61" spans="2:11" x14ac:dyDescent="0.25">
      <c r="F61">
        <v>752.96274171599998</v>
      </c>
      <c r="G61">
        <v>406.30665594599998</v>
      </c>
      <c r="H61">
        <v>0</v>
      </c>
      <c r="I61">
        <v>1565.0739693979999</v>
      </c>
      <c r="K61">
        <f t="shared" si="9"/>
        <v>2724.3433670599998</v>
      </c>
    </row>
    <row r="62" spans="2:11" x14ac:dyDescent="0.25">
      <c r="F62">
        <v>727.07492453299994</v>
      </c>
      <c r="G62">
        <v>369.884986357</v>
      </c>
      <c r="H62">
        <v>0</v>
      </c>
      <c r="I62">
        <v>1458.8833034530001</v>
      </c>
      <c r="K62">
        <f t="shared" si="9"/>
        <v>2555.843214343</v>
      </c>
    </row>
    <row r="63" spans="2:11" x14ac:dyDescent="0.25">
      <c r="F63">
        <v>772.22360734100005</v>
      </c>
      <c r="G63">
        <v>489.76657280299997</v>
      </c>
      <c r="H63">
        <v>0</v>
      </c>
      <c r="I63">
        <v>1409.88605861</v>
      </c>
      <c r="K63">
        <f t="shared" si="9"/>
        <v>2671.876238754</v>
      </c>
    </row>
    <row r="64" spans="2:11" x14ac:dyDescent="0.25">
      <c r="F64">
        <v>762.71514906699997</v>
      </c>
      <c r="G64">
        <v>488.09602092300003</v>
      </c>
      <c r="H64">
        <v>0</v>
      </c>
      <c r="I64">
        <v>1541.1650228619999</v>
      </c>
      <c r="K64">
        <f t="shared" si="9"/>
        <v>2791.9761928520002</v>
      </c>
    </row>
    <row r="65" spans="6:12" x14ac:dyDescent="0.25">
      <c r="F65">
        <v>674.09959603100003</v>
      </c>
      <c r="G65">
        <v>468.78981133299999</v>
      </c>
      <c r="H65">
        <v>0</v>
      </c>
      <c r="I65">
        <v>1586.0666334509999</v>
      </c>
      <c r="K65">
        <f t="shared" si="9"/>
        <v>2728.9560408150001</v>
      </c>
    </row>
    <row r="66" spans="6:12" x14ac:dyDescent="0.25">
      <c r="F66">
        <v>635.40981849399998</v>
      </c>
      <c r="G66">
        <v>445.83714189900002</v>
      </c>
      <c r="H66">
        <v>0</v>
      </c>
      <c r="I66">
        <v>1596.6635421640001</v>
      </c>
      <c r="K66">
        <f t="shared" si="9"/>
        <v>2677.9105025569997</v>
      </c>
    </row>
    <row r="67" spans="6:12" x14ac:dyDescent="0.25">
      <c r="F67">
        <v>652.13185151899995</v>
      </c>
      <c r="G67">
        <v>485.19246974800001</v>
      </c>
      <c r="H67">
        <v>0</v>
      </c>
      <c r="I67">
        <v>1656.7146660210001</v>
      </c>
      <c r="K67">
        <f t="shared" si="9"/>
        <v>2794.038987288</v>
      </c>
    </row>
    <row r="68" spans="6:12" x14ac:dyDescent="0.25">
      <c r="F68">
        <v>706.07079268300004</v>
      </c>
      <c r="G68">
        <v>685.79500249099999</v>
      </c>
      <c r="H68">
        <v>0</v>
      </c>
      <c r="I68">
        <v>1966.064985941</v>
      </c>
      <c r="K68">
        <f t="shared" si="9"/>
        <v>3357.9307811150002</v>
      </c>
    </row>
    <row r="69" spans="6:12" x14ac:dyDescent="0.25">
      <c r="F69">
        <v>678.49213357799999</v>
      </c>
      <c r="G69">
        <v>597.19405505500004</v>
      </c>
      <c r="H69">
        <v>0</v>
      </c>
      <c r="I69">
        <v>1732.433182065</v>
      </c>
      <c r="K69">
        <f t="shared" si="9"/>
        <v>3008.1193706980002</v>
      </c>
    </row>
    <row r="70" spans="6:12" x14ac:dyDescent="0.25">
      <c r="F70">
        <v>552.61435425499997</v>
      </c>
      <c r="G70">
        <v>292.81573286899999</v>
      </c>
      <c r="H70">
        <v>0</v>
      </c>
      <c r="I70">
        <v>1569.389879608</v>
      </c>
      <c r="K70">
        <f t="shared" si="9"/>
        <v>2414.819966732</v>
      </c>
    </row>
    <row r="71" spans="6:12" x14ac:dyDescent="0.25">
      <c r="F71">
        <v>659.64939310099999</v>
      </c>
      <c r="G71">
        <v>326.304867742</v>
      </c>
      <c r="H71">
        <v>0</v>
      </c>
      <c r="I71">
        <v>2290.8744686189998</v>
      </c>
      <c r="K71">
        <f t="shared" si="9"/>
        <v>3276.8287294619995</v>
      </c>
    </row>
    <row r="72" spans="6:12" x14ac:dyDescent="0.25">
      <c r="F72">
        <v>684.30747550600006</v>
      </c>
      <c r="G72">
        <v>463.602870037</v>
      </c>
      <c r="H72">
        <v>0</v>
      </c>
      <c r="I72">
        <v>2003.8883542220001</v>
      </c>
      <c r="K72">
        <f t="shared" si="9"/>
        <v>3151.798699765</v>
      </c>
    </row>
    <row r="73" spans="6:12" x14ac:dyDescent="0.25">
      <c r="F73">
        <v>686.11504542099999</v>
      </c>
      <c r="G73">
        <v>492.36557411299998</v>
      </c>
      <c r="H73">
        <v>0</v>
      </c>
      <c r="I73">
        <v>1909.9913627650001</v>
      </c>
      <c r="K73">
        <f t="shared" si="9"/>
        <v>3088.471982299</v>
      </c>
    </row>
    <row r="77" spans="6:12" x14ac:dyDescent="0.25">
      <c r="H77" s="11">
        <v>799.58598615599999</v>
      </c>
      <c r="I77" s="11">
        <v>239.87890859800001</v>
      </c>
      <c r="J77" s="11">
        <v>0</v>
      </c>
      <c r="K77" s="11">
        <v>644.07231084600005</v>
      </c>
      <c r="L77" s="24">
        <f>SUM(H77:K77)</f>
        <v>1683.5372056000001</v>
      </c>
    </row>
    <row r="78" spans="6:12" x14ac:dyDescent="0.25">
      <c r="H78" s="11">
        <v>781.48405495899999</v>
      </c>
      <c r="I78" s="11">
        <v>244.68841391999999</v>
      </c>
      <c r="J78" s="11">
        <v>0</v>
      </c>
      <c r="K78" s="11">
        <v>634.62973430099998</v>
      </c>
      <c r="L78" s="24">
        <f t="shared" ref="L78:L100" si="10">SUM(H78:K78)</f>
        <v>1660.8022031800001</v>
      </c>
    </row>
    <row r="79" spans="6:12" x14ac:dyDescent="0.25">
      <c r="H79" s="11">
        <v>869.58993976600004</v>
      </c>
      <c r="I79" s="11">
        <v>283.79225563</v>
      </c>
      <c r="J79" s="11">
        <v>0</v>
      </c>
      <c r="K79" s="11">
        <v>698.47408872400001</v>
      </c>
      <c r="L79" s="24">
        <f t="shared" si="10"/>
        <v>1851.8562841200001</v>
      </c>
    </row>
    <row r="80" spans="6:12" x14ac:dyDescent="0.25">
      <c r="H80" s="11">
        <v>910.44059832900007</v>
      </c>
      <c r="I80" s="11">
        <v>276.52130291000003</v>
      </c>
      <c r="J80" s="11">
        <v>0</v>
      </c>
      <c r="K80" s="11">
        <v>680.74048176300005</v>
      </c>
      <c r="L80" s="24">
        <f t="shared" si="10"/>
        <v>1867.7023830020003</v>
      </c>
    </row>
    <row r="81" spans="8:12" x14ac:dyDescent="0.25">
      <c r="H81" s="11">
        <v>747.13460888599991</v>
      </c>
      <c r="I81" s="11">
        <v>256.98940538099998</v>
      </c>
      <c r="J81" s="11">
        <v>0</v>
      </c>
      <c r="K81" s="11">
        <v>659.4533353999999</v>
      </c>
      <c r="L81" s="24">
        <f t="shared" si="10"/>
        <v>1663.5773496669999</v>
      </c>
    </row>
    <row r="82" spans="8:12" x14ac:dyDescent="0.25">
      <c r="H82" s="11">
        <v>523.55985092799995</v>
      </c>
      <c r="I82" s="11">
        <v>170.90000192700001</v>
      </c>
      <c r="J82" s="11">
        <v>0</v>
      </c>
      <c r="K82" s="11">
        <v>525.55812474799995</v>
      </c>
      <c r="L82" s="24">
        <f t="shared" si="10"/>
        <v>1220.017977603</v>
      </c>
    </row>
    <row r="83" spans="8:12" x14ac:dyDescent="0.25">
      <c r="H83" s="11">
        <v>85.886514084999988</v>
      </c>
      <c r="I83" s="11">
        <v>18.193749513</v>
      </c>
      <c r="J83" s="11">
        <v>0</v>
      </c>
      <c r="K83" s="11">
        <v>175.82053409899999</v>
      </c>
      <c r="L83" s="24">
        <f t="shared" si="10"/>
        <v>279.90079769699997</v>
      </c>
    </row>
    <row r="84" spans="8:12" x14ac:dyDescent="0.25">
      <c r="H84" s="11">
        <v>119.10151382800001</v>
      </c>
      <c r="I84" s="11">
        <v>33.755812869000003</v>
      </c>
      <c r="J84" s="11">
        <v>0</v>
      </c>
      <c r="K84" s="11">
        <v>200.405955312</v>
      </c>
      <c r="L84" s="24">
        <f t="shared" si="10"/>
        <v>353.26328200900002</v>
      </c>
    </row>
    <row r="85" spans="8:12" x14ac:dyDescent="0.25">
      <c r="H85" s="11">
        <v>158.56574995700001</v>
      </c>
      <c r="I85" s="11">
        <v>34.475181620000001</v>
      </c>
      <c r="J85" s="11">
        <v>0</v>
      </c>
      <c r="K85" s="11">
        <v>226.58109846600001</v>
      </c>
      <c r="L85" s="24">
        <f t="shared" si="10"/>
        <v>419.622030043</v>
      </c>
    </row>
    <row r="86" spans="8:12" x14ac:dyDescent="0.25">
      <c r="H86" s="11">
        <v>238.63708121299999</v>
      </c>
      <c r="I86" s="11">
        <v>41.633857198000001</v>
      </c>
      <c r="J86" s="11">
        <v>0</v>
      </c>
      <c r="K86" s="11">
        <v>249.468655619</v>
      </c>
      <c r="L86" s="24">
        <f t="shared" si="10"/>
        <v>529.73959403000003</v>
      </c>
    </row>
    <row r="87" spans="8:12" x14ac:dyDescent="0.25">
      <c r="H87" s="11">
        <v>301.855434618</v>
      </c>
      <c r="I87" s="11">
        <v>41.451507495999998</v>
      </c>
      <c r="J87" s="11">
        <v>0</v>
      </c>
      <c r="K87" s="11">
        <v>283.542138368</v>
      </c>
      <c r="L87" s="24">
        <f t="shared" si="10"/>
        <v>626.84908048199998</v>
      </c>
    </row>
    <row r="88" spans="8:12" x14ac:dyDescent="0.25">
      <c r="H88" s="11">
        <v>382.21873348399998</v>
      </c>
      <c r="I88" s="11">
        <v>40.268053328000001</v>
      </c>
      <c r="J88" s="11">
        <v>0</v>
      </c>
      <c r="K88" s="11">
        <v>303.51999300499995</v>
      </c>
      <c r="L88" s="24">
        <f t="shared" si="10"/>
        <v>726.00677981699994</v>
      </c>
    </row>
    <row r="89" spans="8:12" x14ac:dyDescent="0.25">
      <c r="H89" s="11">
        <v>484.80100813600001</v>
      </c>
      <c r="I89" s="11">
        <v>52.208347625000002</v>
      </c>
      <c r="J89" s="11">
        <v>0</v>
      </c>
      <c r="K89" s="11">
        <v>344.63128408099999</v>
      </c>
      <c r="L89" s="24">
        <f t="shared" si="10"/>
        <v>881.64063984200004</v>
      </c>
    </row>
    <row r="90" spans="8:12" x14ac:dyDescent="0.25">
      <c r="H90" s="11">
        <v>543.18951594999999</v>
      </c>
      <c r="I90" s="11">
        <v>56.944222428000003</v>
      </c>
      <c r="J90" s="11">
        <v>0</v>
      </c>
      <c r="K90" s="11">
        <v>362.87741482299998</v>
      </c>
      <c r="L90" s="24">
        <f t="shared" si="10"/>
        <v>963.01115320099996</v>
      </c>
    </row>
    <row r="91" spans="8:12" x14ac:dyDescent="0.25">
      <c r="H91" s="11">
        <v>650.16558284100006</v>
      </c>
      <c r="I91" s="11">
        <v>55.188643574000004</v>
      </c>
      <c r="J91" s="11">
        <v>0</v>
      </c>
      <c r="K91" s="11">
        <v>424.92656492399993</v>
      </c>
      <c r="L91" s="24">
        <f t="shared" si="10"/>
        <v>1130.280791339</v>
      </c>
    </row>
    <row r="92" spans="8:12" x14ac:dyDescent="0.25">
      <c r="H92" s="11">
        <v>674.52688159800005</v>
      </c>
      <c r="I92" s="11">
        <v>83.159952387000004</v>
      </c>
      <c r="J92" s="11">
        <v>0</v>
      </c>
      <c r="K92" s="11">
        <v>386.09201557799997</v>
      </c>
      <c r="L92" s="24">
        <f t="shared" si="10"/>
        <v>1143.778849563</v>
      </c>
    </row>
    <row r="93" spans="8:12" x14ac:dyDescent="0.25">
      <c r="H93" s="11">
        <v>490.96435969400005</v>
      </c>
      <c r="I93" s="11">
        <v>51.327341009000008</v>
      </c>
      <c r="J93" s="11">
        <v>0</v>
      </c>
      <c r="K93" s="11">
        <v>379.25002814300001</v>
      </c>
      <c r="L93" s="24">
        <f t="shared" si="10"/>
        <v>921.54172884600007</v>
      </c>
    </row>
    <row r="94" spans="8:12" x14ac:dyDescent="0.25">
      <c r="H94" s="11">
        <v>397.13046476299996</v>
      </c>
      <c r="I94" s="11">
        <v>50.585632832999998</v>
      </c>
      <c r="J94" s="11">
        <v>0</v>
      </c>
      <c r="K94" s="11">
        <v>473.353722683</v>
      </c>
      <c r="L94" s="24">
        <f t="shared" si="10"/>
        <v>921.06982027899994</v>
      </c>
    </row>
    <row r="95" spans="8:12" x14ac:dyDescent="0.25">
      <c r="H95" s="11">
        <v>327.40542133300005</v>
      </c>
      <c r="I95" s="11">
        <v>52.107429588999992</v>
      </c>
      <c r="J95" s="11">
        <v>0</v>
      </c>
      <c r="K95" s="11">
        <v>453.05191392799998</v>
      </c>
      <c r="L95" s="24">
        <f t="shared" si="10"/>
        <v>832.56476485000007</v>
      </c>
    </row>
    <row r="96" spans="8:12" x14ac:dyDescent="0.25">
      <c r="H96" s="11">
        <v>428.68181292899999</v>
      </c>
      <c r="I96" s="11">
        <v>77.988576299000002</v>
      </c>
      <c r="J96" s="11">
        <v>0</v>
      </c>
      <c r="K96" s="11">
        <v>504.99868476499995</v>
      </c>
      <c r="L96" s="24">
        <f t="shared" si="10"/>
        <v>1011.669073993</v>
      </c>
    </row>
    <row r="97" spans="8:12" x14ac:dyDescent="0.25">
      <c r="H97" s="11">
        <v>499.85970458499997</v>
      </c>
      <c r="I97" s="11">
        <v>79.990535100000017</v>
      </c>
      <c r="J97" s="11">
        <v>0</v>
      </c>
      <c r="K97" s="11">
        <v>480.88739451399999</v>
      </c>
      <c r="L97" s="24">
        <f t="shared" si="10"/>
        <v>1060.737634199</v>
      </c>
    </row>
    <row r="98" spans="8:12" x14ac:dyDescent="0.25">
      <c r="H98" s="11">
        <v>657.84227316600004</v>
      </c>
      <c r="I98" s="11">
        <v>84.077147069999995</v>
      </c>
      <c r="J98" s="11">
        <v>0</v>
      </c>
      <c r="K98" s="11">
        <v>508.07860968</v>
      </c>
      <c r="L98" s="24">
        <f t="shared" si="10"/>
        <v>1249.9980299160002</v>
      </c>
    </row>
    <row r="99" spans="8:12" x14ac:dyDescent="0.25">
      <c r="H99" s="11">
        <v>615.05821041900003</v>
      </c>
      <c r="I99" s="11">
        <v>68.215968392000008</v>
      </c>
      <c r="J99" s="11">
        <v>0</v>
      </c>
      <c r="K99" s="11">
        <v>502.28147444199993</v>
      </c>
      <c r="L99" s="24">
        <f t="shared" si="10"/>
        <v>1185.5556532529999</v>
      </c>
    </row>
    <row r="100" spans="8:12" ht="15.75" thickBot="1" x14ac:dyDescent="0.3">
      <c r="H100" s="12">
        <v>652.07034347199988</v>
      </c>
      <c r="I100" s="12">
        <v>81.206173007999993</v>
      </c>
      <c r="J100" s="12"/>
      <c r="K100" s="12">
        <v>493.15344243999994</v>
      </c>
      <c r="L100" s="24">
        <f t="shared" si="10"/>
        <v>1226.4299589199998</v>
      </c>
    </row>
  </sheetData>
  <mergeCells count="21">
    <mergeCell ref="A1:P1"/>
    <mergeCell ref="G2:H2"/>
    <mergeCell ref="K2:L2"/>
    <mergeCell ref="L42:L44"/>
    <mergeCell ref="M42:M44"/>
    <mergeCell ref="O41:O42"/>
    <mergeCell ref="A2:A3"/>
    <mergeCell ref="C2:D2"/>
    <mergeCell ref="E2:F2"/>
    <mergeCell ref="F48:I48"/>
    <mergeCell ref="K48:K49"/>
    <mergeCell ref="J42:J44"/>
    <mergeCell ref="K42:K44"/>
    <mergeCell ref="A40:A44"/>
    <mergeCell ref="B40:B44"/>
    <mergeCell ref="C41:C44"/>
    <mergeCell ref="D43:D44"/>
    <mergeCell ref="E41:E44"/>
    <mergeCell ref="F42:F44"/>
    <mergeCell ref="H42:H44"/>
    <mergeCell ref="I41:I44"/>
  </mergeCells>
  <hyperlinks>
    <hyperlink ref="O41" r:id="rId1" xr:uid="{CD19BBFA-9BA2-42B4-9F3C-EEA68D43F664}"/>
    <hyperlink ref="B40" r:id="rId2" display="https://plataforma.seeg.eco.br/?_gl=1*1c7j466*_ga*MTk0NzI2MDYwMS4xNzMyNzM0Mzg0*_ga_XZWSWEJDWQ*MTczMjczNDM4NC4xLjAuMTczMjczNDM4NC4wLjAuMA.." xr:uid="{C376C470-4A4D-4CAC-93C5-E254ABC702B3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01A5E-AA0A-4DE8-8C29-9BBD12BC3B9C}">
  <dimension ref="A1:AK121"/>
  <sheetViews>
    <sheetView tabSelected="1" topLeftCell="A59" zoomScaleNormal="100" workbookViewId="0">
      <pane xSplit="1" topLeftCell="B1" activePane="topRight" state="frozen"/>
      <selection pane="topRight" activeCell="J82" sqref="J82"/>
    </sheetView>
  </sheetViews>
  <sheetFormatPr defaultRowHeight="15" x14ac:dyDescent="0.25"/>
  <cols>
    <col min="1" max="1" width="12" customWidth="1"/>
    <col min="2" max="2" width="19.7109375" customWidth="1"/>
    <col min="3" max="3" width="20.140625" customWidth="1"/>
    <col min="4" max="4" width="19.42578125" customWidth="1"/>
    <col min="6" max="6" width="10.7109375" customWidth="1"/>
    <col min="7" max="7" width="23.7109375" customWidth="1"/>
    <col min="8" max="8" width="19.5703125" customWidth="1"/>
    <col min="9" max="9" width="10.42578125" customWidth="1"/>
    <col min="10" max="10" width="13.7109375" customWidth="1"/>
    <col min="11" max="11" width="20.5703125" customWidth="1"/>
    <col min="12" max="12" width="21" customWidth="1"/>
    <col min="13" max="13" width="13.140625" customWidth="1"/>
    <col min="14" max="14" width="21.140625" customWidth="1"/>
    <col min="15" max="15" width="19.28515625" customWidth="1"/>
    <col min="17" max="17" width="14.85546875" customWidth="1"/>
    <col min="18" max="18" width="22.42578125" customWidth="1"/>
    <col min="19" max="19" width="22.7109375" customWidth="1"/>
    <col min="21" max="21" width="12.7109375" customWidth="1"/>
    <col min="22" max="22" width="18.5703125" customWidth="1"/>
    <col min="23" max="23" width="19.7109375" style="47" customWidth="1"/>
  </cols>
  <sheetData>
    <row r="1" spans="1:25" ht="18.75" customHeight="1" x14ac:dyDescent="0.25">
      <c r="A1" s="196" t="s">
        <v>28</v>
      </c>
      <c r="B1" s="199" t="s">
        <v>34</v>
      </c>
      <c r="C1" s="199"/>
      <c r="D1" s="199"/>
      <c r="E1" s="42"/>
      <c r="F1" s="199" t="s">
        <v>35</v>
      </c>
      <c r="G1" s="199"/>
      <c r="H1" s="199"/>
      <c r="I1" s="43"/>
      <c r="J1" s="199" t="s">
        <v>73</v>
      </c>
      <c r="K1" s="199"/>
      <c r="L1" s="199"/>
      <c r="M1" s="199"/>
      <c r="N1" s="199"/>
      <c r="O1" s="199"/>
      <c r="P1" s="42"/>
      <c r="Q1" s="198" t="s">
        <v>74</v>
      </c>
      <c r="R1" s="198"/>
      <c r="S1" s="198"/>
      <c r="T1" s="198"/>
      <c r="U1" s="198"/>
      <c r="V1" s="198"/>
      <c r="W1" s="198"/>
      <c r="X1" s="37"/>
      <c r="Y1" s="37"/>
    </row>
    <row r="2" spans="1:25" ht="15" customHeight="1" x14ac:dyDescent="0.25">
      <c r="A2" s="196"/>
      <c r="B2" s="197" t="s">
        <v>33</v>
      </c>
      <c r="C2" s="197"/>
      <c r="D2" s="197"/>
      <c r="E2" s="42"/>
      <c r="F2" s="197" t="s">
        <v>37</v>
      </c>
      <c r="G2" s="197"/>
      <c r="H2" s="197"/>
      <c r="I2" s="36"/>
      <c r="J2" s="197" t="s">
        <v>38</v>
      </c>
      <c r="K2" s="197"/>
      <c r="L2" s="197"/>
      <c r="M2" s="197" t="s">
        <v>68</v>
      </c>
      <c r="N2" s="197"/>
      <c r="O2" s="197"/>
      <c r="P2" s="42"/>
      <c r="Q2" s="197" t="s">
        <v>70</v>
      </c>
      <c r="R2" s="197"/>
      <c r="S2" s="197"/>
      <c r="T2" s="16"/>
      <c r="U2" s="197" t="s">
        <v>4</v>
      </c>
      <c r="V2" s="197"/>
      <c r="W2" s="197"/>
      <c r="X2" s="14"/>
      <c r="Y2" s="14"/>
    </row>
    <row r="3" spans="1:25" ht="15.75" x14ac:dyDescent="0.25">
      <c r="A3" s="196"/>
      <c r="B3" s="38" t="s">
        <v>36</v>
      </c>
      <c r="C3" s="39" t="s">
        <v>101</v>
      </c>
      <c r="D3" s="40" t="s">
        <v>77</v>
      </c>
      <c r="E3" s="34"/>
      <c r="F3" s="38" t="s">
        <v>36</v>
      </c>
      <c r="G3" s="39" t="s">
        <v>80</v>
      </c>
      <c r="H3" s="40" t="s">
        <v>77</v>
      </c>
      <c r="I3" s="44"/>
      <c r="J3" s="38" t="s">
        <v>36</v>
      </c>
      <c r="K3" s="39" t="s">
        <v>80</v>
      </c>
      <c r="L3" s="40" t="s">
        <v>77</v>
      </c>
      <c r="M3" s="38" t="s">
        <v>36</v>
      </c>
      <c r="N3" s="39" t="s">
        <v>80</v>
      </c>
      <c r="O3" s="40" t="s">
        <v>77</v>
      </c>
      <c r="P3" s="42"/>
      <c r="Q3" s="38" t="s">
        <v>36</v>
      </c>
      <c r="R3" s="39" t="s">
        <v>80</v>
      </c>
      <c r="S3" s="40" t="s">
        <v>77</v>
      </c>
      <c r="T3" s="23" t="s">
        <v>6</v>
      </c>
      <c r="U3" s="38" t="s">
        <v>69</v>
      </c>
      <c r="V3" s="39" t="s">
        <v>80</v>
      </c>
      <c r="W3" s="40" t="s">
        <v>77</v>
      </c>
      <c r="X3" s="41"/>
      <c r="Y3" s="45"/>
    </row>
    <row r="4" spans="1:25" ht="15.75" x14ac:dyDescent="0.25">
      <c r="A4" s="74">
        <v>2000</v>
      </c>
      <c r="B4" s="5">
        <v>53.376022031000005</v>
      </c>
      <c r="C4" s="5">
        <v>53.376022031000005</v>
      </c>
      <c r="D4" s="5">
        <v>53.376022031000005</v>
      </c>
      <c r="E4" s="34"/>
      <c r="F4" s="48">
        <v>1954.6397572020001</v>
      </c>
      <c r="G4" s="48">
        <v>1954.6397572020001</v>
      </c>
      <c r="H4" s="48">
        <v>1954.6397572020001</v>
      </c>
      <c r="I4" s="49"/>
      <c r="J4" s="50">
        <f t="shared" ref="J4:J27" si="0">(((B4*10^3)*90)/10^3)+F4</f>
        <v>6758.4817399920012</v>
      </c>
      <c r="K4" s="50">
        <f>(((C4*10^3)*90)/10^3)+G4</f>
        <v>6758.4817399920012</v>
      </c>
      <c r="L4" s="51">
        <f t="shared" ref="L4:L27" si="1">(((D4*10^3)*90)/10^3)+H4</f>
        <v>6758.4817399920012</v>
      </c>
      <c r="M4" s="52">
        <f>(($F4*10^3)/90)+($B4*10^3)</f>
        <v>75094.24155546668</v>
      </c>
      <c r="N4" s="52">
        <f>(($F4*10^3)/90)+($B4*10^3)</f>
        <v>75094.24155546668</v>
      </c>
      <c r="O4" s="52">
        <f>(($F4*10^3)/90)+($B4*10^3)</f>
        <v>75094.24155546668</v>
      </c>
      <c r="P4" s="34"/>
      <c r="Q4" s="52">
        <f xml:space="preserve"> Fig_historico_Kaya!K14</f>
        <v>26.646484732562602</v>
      </c>
      <c r="R4" s="52">
        <f>Fig_historico_Kaya!K14</f>
        <v>26.646484732562602</v>
      </c>
      <c r="S4" s="52">
        <f>Fig_historico_Kaya!K14</f>
        <v>26.646484732562602</v>
      </c>
      <c r="T4" s="52"/>
      <c r="U4" s="52">
        <f>Fig_historico_Kaya!L14</f>
        <v>2.3981836259306344</v>
      </c>
      <c r="V4" s="52">
        <f>Fig_historico_Kaya!L14</f>
        <v>2.3981836259306344</v>
      </c>
      <c r="W4" s="77">
        <f>Fig_historico_Kaya!L14</f>
        <v>2.3981836259306344</v>
      </c>
      <c r="X4" s="7"/>
      <c r="Y4" s="5"/>
    </row>
    <row r="5" spans="1:25" ht="15.75" x14ac:dyDescent="0.25">
      <c r="A5" s="74">
        <v>2001</v>
      </c>
      <c r="B5" s="5">
        <v>51.345035597000006</v>
      </c>
      <c r="C5" s="5">
        <v>51.345035597000006</v>
      </c>
      <c r="D5" s="5">
        <v>51.345035597000006</v>
      </c>
      <c r="E5" s="34"/>
      <c r="F5" s="48">
        <v>1909.8107487010002</v>
      </c>
      <c r="G5" s="48">
        <v>1909.8107487010002</v>
      </c>
      <c r="H5" s="48">
        <v>1909.8107487010002</v>
      </c>
      <c r="I5" s="49"/>
      <c r="J5" s="50">
        <f t="shared" si="0"/>
        <v>6530.8639524310011</v>
      </c>
      <c r="K5" s="50">
        <f t="shared" ref="K5:K27" si="2">(((C5*10^3)*90)/10^3)+G5</f>
        <v>6530.8639524310011</v>
      </c>
      <c r="L5" s="53">
        <f t="shared" si="1"/>
        <v>6530.8639524310011</v>
      </c>
      <c r="M5" s="52">
        <f t="shared" ref="M5:O54" si="3">(($F5*10^3)/90)+($B5*10^3)</f>
        <v>72565.155027011118</v>
      </c>
      <c r="N5" s="52">
        <f t="shared" si="3"/>
        <v>72565.155027011118</v>
      </c>
      <c r="O5" s="52">
        <f t="shared" si="3"/>
        <v>72565.155027011118</v>
      </c>
      <c r="P5" s="34"/>
      <c r="Q5" s="52">
        <f xml:space="preserve"> Fig_historico_Kaya!K15</f>
        <v>27.765892816141285</v>
      </c>
      <c r="R5" s="52">
        <f>Fig_historico_Kaya!K15</f>
        <v>27.765892816141285</v>
      </c>
      <c r="S5" s="52">
        <f>Fig_historico_Kaya!K15</f>
        <v>27.765892816141285</v>
      </c>
      <c r="T5" s="52"/>
      <c r="U5" s="52">
        <f>Fig_historico_Kaya!L15</f>
        <v>2.4989303534527156</v>
      </c>
      <c r="V5" s="52">
        <f>Fig_historico_Kaya!L15</f>
        <v>2.4989303534527156</v>
      </c>
      <c r="W5" s="77">
        <f>Fig_historico_Kaya!L15</f>
        <v>2.4989303534527156</v>
      </c>
      <c r="X5" s="7"/>
      <c r="Y5" s="5"/>
    </row>
    <row r="6" spans="1:25" ht="15.75" x14ac:dyDescent="0.25">
      <c r="A6" s="74">
        <v>2002</v>
      </c>
      <c r="B6" s="5">
        <v>50.254793960999997</v>
      </c>
      <c r="C6" s="5">
        <v>50.254793960999997</v>
      </c>
      <c r="D6" s="5">
        <v>50.254793960999997</v>
      </c>
      <c r="E6" s="34"/>
      <c r="F6" s="48">
        <v>2089.6552224759998</v>
      </c>
      <c r="G6" s="48">
        <v>2089.6552224759998</v>
      </c>
      <c r="H6" s="48">
        <v>2089.6552224759998</v>
      </c>
      <c r="I6" s="49"/>
      <c r="J6" s="50">
        <f t="shared" si="0"/>
        <v>6612.5866789659995</v>
      </c>
      <c r="K6" s="50">
        <f t="shared" si="2"/>
        <v>6612.5866789659995</v>
      </c>
      <c r="L6" s="53">
        <f t="shared" si="1"/>
        <v>6612.5866789659995</v>
      </c>
      <c r="M6" s="52">
        <f t="shared" si="3"/>
        <v>73473.185321844445</v>
      </c>
      <c r="N6" s="52">
        <f t="shared" si="3"/>
        <v>73473.185321844445</v>
      </c>
      <c r="O6" s="52">
        <f t="shared" si="3"/>
        <v>73473.185321844445</v>
      </c>
      <c r="P6" s="34"/>
      <c r="Q6" s="52">
        <f xml:space="preserve"> Fig_historico_Kaya!K16</f>
        <v>27.45217337981051</v>
      </c>
      <c r="R6" s="52">
        <f>Fig_historico_Kaya!K16</f>
        <v>27.45217337981051</v>
      </c>
      <c r="S6" s="52">
        <f>Fig_historico_Kaya!K16</f>
        <v>27.45217337981051</v>
      </c>
      <c r="T6" s="52"/>
      <c r="U6" s="52">
        <f>Fig_historico_Kaya!L16</f>
        <v>2.4706956041829455</v>
      </c>
      <c r="V6" s="52">
        <f>Fig_historico_Kaya!L16</f>
        <v>2.4706956041829455</v>
      </c>
      <c r="W6" s="77">
        <f>Fig_historico_Kaya!L16</f>
        <v>2.4706956041829455</v>
      </c>
      <c r="X6" s="7"/>
      <c r="Y6" s="5"/>
    </row>
    <row r="7" spans="1:25" ht="15.75" x14ac:dyDescent="0.25">
      <c r="A7" s="74">
        <v>2003</v>
      </c>
      <c r="B7" s="5">
        <v>50.301464779999996</v>
      </c>
      <c r="C7" s="5">
        <v>50.301464779999996</v>
      </c>
      <c r="D7" s="5">
        <v>50.301464779999996</v>
      </c>
      <c r="E7" s="34"/>
      <c r="F7" s="48">
        <v>1995.6600105060002</v>
      </c>
      <c r="G7" s="48">
        <v>1995.6600105060002</v>
      </c>
      <c r="H7" s="48">
        <v>1995.6600105060002</v>
      </c>
      <c r="I7" s="49"/>
      <c r="J7" s="50">
        <f t="shared" si="0"/>
        <v>6522.7918407060006</v>
      </c>
      <c r="K7" s="50">
        <f t="shared" si="2"/>
        <v>6522.7918407060006</v>
      </c>
      <c r="L7" s="53">
        <f t="shared" si="1"/>
        <v>6522.7918407060006</v>
      </c>
      <c r="M7" s="52">
        <f t="shared" si="3"/>
        <v>72475.464896733334</v>
      </c>
      <c r="N7" s="52">
        <f t="shared" si="3"/>
        <v>72475.464896733334</v>
      </c>
      <c r="O7" s="52">
        <f t="shared" si="3"/>
        <v>72475.464896733334</v>
      </c>
      <c r="P7" s="34"/>
      <c r="Q7" s="52">
        <f xml:space="preserve"> Fig_historico_Kaya!K17</f>
        <v>24.058944671613862</v>
      </c>
      <c r="R7" s="52">
        <f>Fig_historico_Kaya!K17</f>
        <v>24.058944671613862</v>
      </c>
      <c r="S7" s="52">
        <f>Fig_historico_Kaya!K17</f>
        <v>24.058944671613862</v>
      </c>
      <c r="T7" s="52"/>
      <c r="U7" s="52">
        <f>Fig_historico_Kaya!L17</f>
        <v>2.1653050204452478</v>
      </c>
      <c r="V7" s="52">
        <f>Fig_historico_Kaya!L17</f>
        <v>2.1653050204452478</v>
      </c>
      <c r="W7" s="77">
        <f>Fig_historico_Kaya!L17</f>
        <v>2.1653050204452478</v>
      </c>
      <c r="X7" s="7"/>
      <c r="Y7" s="5"/>
    </row>
    <row r="8" spans="1:25" ht="15.75" x14ac:dyDescent="0.25">
      <c r="A8" s="74">
        <v>2004</v>
      </c>
      <c r="B8" s="5">
        <v>55.928460839000003</v>
      </c>
      <c r="C8" s="5">
        <v>55.928460839000003</v>
      </c>
      <c r="D8" s="5">
        <v>55.928460839000003</v>
      </c>
      <c r="E8" s="34"/>
      <c r="F8" s="48">
        <v>2332.9972381140001</v>
      </c>
      <c r="G8" s="48">
        <v>2332.9972381140001</v>
      </c>
      <c r="H8" s="48">
        <v>2332.9972381140001</v>
      </c>
      <c r="I8" s="49"/>
      <c r="J8" s="50">
        <f t="shared" si="0"/>
        <v>7366.558713624001</v>
      </c>
      <c r="K8" s="50">
        <f t="shared" si="2"/>
        <v>7366.558713624001</v>
      </c>
      <c r="L8" s="53">
        <f t="shared" si="1"/>
        <v>7366.558713624001</v>
      </c>
      <c r="M8" s="52">
        <f t="shared" si="3"/>
        <v>81850.652373600009</v>
      </c>
      <c r="N8" s="52">
        <f t="shared" si="3"/>
        <v>81850.652373600009</v>
      </c>
      <c r="O8" s="52">
        <f t="shared" si="3"/>
        <v>81850.652373600009</v>
      </c>
      <c r="P8" s="34"/>
      <c r="Q8" s="52">
        <f xml:space="preserve"> Fig_historico_Kaya!K18</f>
        <v>22.322952126326239</v>
      </c>
      <c r="R8" s="52">
        <f>Fig_historico_Kaya!K18</f>
        <v>22.322952126326239</v>
      </c>
      <c r="S8" s="52">
        <f>Fig_historico_Kaya!K18</f>
        <v>22.322952126326239</v>
      </c>
      <c r="T8" s="52"/>
      <c r="U8" s="52">
        <f>Fig_historico_Kaya!L18</f>
        <v>2.0090656913693619</v>
      </c>
      <c r="V8" s="52">
        <f>Fig_historico_Kaya!L18</f>
        <v>2.0090656913693619</v>
      </c>
      <c r="W8" s="77">
        <f>Fig_historico_Kaya!L18</f>
        <v>2.0090656913693619</v>
      </c>
      <c r="X8" s="7"/>
      <c r="Y8" s="5"/>
    </row>
    <row r="9" spans="1:25" ht="15.75" x14ac:dyDescent="0.25">
      <c r="A9" s="74">
        <v>2005</v>
      </c>
      <c r="B9" s="5">
        <v>66.813820539999995</v>
      </c>
      <c r="C9" s="5">
        <v>66.813820539999995</v>
      </c>
      <c r="D9" s="5">
        <v>66.813820539999995</v>
      </c>
      <c r="E9" s="34"/>
      <c r="F9" s="48">
        <v>2248.3734151509998</v>
      </c>
      <c r="G9" s="48">
        <v>2248.3734151509998</v>
      </c>
      <c r="H9" s="48">
        <v>2248.3734151509998</v>
      </c>
      <c r="I9" s="49"/>
      <c r="J9" s="50">
        <f t="shared" si="0"/>
        <v>8261.617263750999</v>
      </c>
      <c r="K9" s="50">
        <f t="shared" si="2"/>
        <v>8261.617263750999</v>
      </c>
      <c r="L9" s="53">
        <f t="shared" si="1"/>
        <v>8261.617263750999</v>
      </c>
      <c r="M9" s="52">
        <f t="shared" si="3"/>
        <v>91795.747375011109</v>
      </c>
      <c r="N9" s="52">
        <f t="shared" si="3"/>
        <v>91795.747375011109</v>
      </c>
      <c r="O9" s="52">
        <f t="shared" si="3"/>
        <v>91795.747375011109</v>
      </c>
      <c r="P9" s="34"/>
      <c r="Q9" s="52">
        <f xml:space="preserve"> Fig_historico_Kaya!K19</f>
        <v>21.035950016599482</v>
      </c>
      <c r="R9" s="52">
        <f>Fig_historico_Kaya!K19</f>
        <v>21.035950016599482</v>
      </c>
      <c r="S9" s="52">
        <f>Fig_historico_Kaya!K19</f>
        <v>21.035950016599482</v>
      </c>
      <c r="T9" s="52"/>
      <c r="U9" s="52">
        <f>Fig_historico_Kaya!L19</f>
        <v>1.893235501493953</v>
      </c>
      <c r="V9" s="52">
        <f>Fig_historico_Kaya!L19</f>
        <v>1.893235501493953</v>
      </c>
      <c r="W9" s="77">
        <f>Fig_historico_Kaya!L19</f>
        <v>1.893235501493953</v>
      </c>
      <c r="X9" s="7"/>
      <c r="Y9" s="5"/>
    </row>
    <row r="10" spans="1:25" ht="15.75" x14ac:dyDescent="0.25">
      <c r="A10" s="74">
        <v>2006</v>
      </c>
      <c r="B10" s="5">
        <v>72.203881308000007</v>
      </c>
      <c r="C10" s="5">
        <v>72.203881308000007</v>
      </c>
      <c r="D10" s="5">
        <v>72.203881308000007</v>
      </c>
      <c r="E10" s="34"/>
      <c r="F10" s="48">
        <v>2006.9671482210001</v>
      </c>
      <c r="G10" s="48">
        <v>2006.9671482210001</v>
      </c>
      <c r="H10" s="48">
        <v>2006.9671482210001</v>
      </c>
      <c r="I10" s="49"/>
      <c r="J10" s="50">
        <f t="shared" si="0"/>
        <v>8505.3164659410013</v>
      </c>
      <c r="K10" s="50">
        <f t="shared" si="2"/>
        <v>8505.3164659410013</v>
      </c>
      <c r="L10" s="53">
        <f t="shared" si="1"/>
        <v>8505.3164659410013</v>
      </c>
      <c r="M10" s="52">
        <f t="shared" si="3"/>
        <v>94503.516288233339</v>
      </c>
      <c r="N10" s="52">
        <f t="shared" si="3"/>
        <v>94503.516288233339</v>
      </c>
      <c r="O10" s="52">
        <f t="shared" si="3"/>
        <v>94503.516288233339</v>
      </c>
      <c r="P10" s="34"/>
      <c r="Q10" s="52">
        <f xml:space="preserve"> Fig_historico_Kaya!K20</f>
        <v>20.432455182109798</v>
      </c>
      <c r="R10" s="52">
        <f>Fig_historico_Kaya!K20</f>
        <v>20.432455182109798</v>
      </c>
      <c r="S10" s="52">
        <f>Fig_historico_Kaya!K20</f>
        <v>20.432455182109798</v>
      </c>
      <c r="T10" s="52"/>
      <c r="U10" s="52">
        <f>Fig_historico_Kaya!L20</f>
        <v>1.838920966389882</v>
      </c>
      <c r="V10" s="52">
        <f>Fig_historico_Kaya!L20</f>
        <v>1.838920966389882</v>
      </c>
      <c r="W10" s="77">
        <f>Fig_historico_Kaya!L20</f>
        <v>1.838920966389882</v>
      </c>
      <c r="X10" s="7"/>
      <c r="Y10" s="5"/>
    </row>
    <row r="11" spans="1:25" ht="15.75" x14ac:dyDescent="0.25">
      <c r="A11" s="74">
        <v>2007</v>
      </c>
      <c r="B11" s="5">
        <v>79.406448315000006</v>
      </c>
      <c r="C11" s="5">
        <v>79.406448315000006</v>
      </c>
      <c r="D11" s="5">
        <v>79.406448315000006</v>
      </c>
      <c r="E11" s="34"/>
      <c r="F11" s="48">
        <v>1995.1700248130001</v>
      </c>
      <c r="G11" s="48">
        <v>1995.1700248130001</v>
      </c>
      <c r="H11" s="48">
        <v>1995.1700248130001</v>
      </c>
      <c r="I11" s="49"/>
      <c r="J11" s="50">
        <f t="shared" si="0"/>
        <v>9141.7503731630004</v>
      </c>
      <c r="K11" s="50">
        <f t="shared" si="2"/>
        <v>9141.7503731630004</v>
      </c>
      <c r="L11" s="53">
        <f t="shared" si="1"/>
        <v>9141.7503731630004</v>
      </c>
      <c r="M11" s="52">
        <f t="shared" si="3"/>
        <v>101575.00414625555</v>
      </c>
      <c r="N11" s="52">
        <f t="shared" si="3"/>
        <v>101575.00414625555</v>
      </c>
      <c r="O11" s="52">
        <f t="shared" si="3"/>
        <v>101575.00414625555</v>
      </c>
      <c r="P11" s="34"/>
      <c r="Q11" s="52">
        <f xml:space="preserve"> Fig_historico_Kaya!K21</f>
        <v>20.826422616302363</v>
      </c>
      <c r="R11" s="52">
        <f>Fig_historico_Kaya!K21</f>
        <v>20.826422616302363</v>
      </c>
      <c r="S11" s="52">
        <f>Fig_historico_Kaya!K21</f>
        <v>20.826422616302363</v>
      </c>
      <c r="T11" s="52"/>
      <c r="U11" s="52">
        <f>Fig_historico_Kaya!L21</f>
        <v>1.8743780354672128</v>
      </c>
      <c r="V11" s="52">
        <f>Fig_historico_Kaya!L21</f>
        <v>1.8743780354672128</v>
      </c>
      <c r="W11" s="77">
        <f>Fig_historico_Kaya!L21</f>
        <v>1.8743780354672128</v>
      </c>
      <c r="X11" s="7"/>
      <c r="Y11" s="5"/>
    </row>
    <row r="12" spans="1:25" ht="15.75" x14ac:dyDescent="0.25">
      <c r="A12" s="74">
        <v>2008</v>
      </c>
      <c r="B12" s="5">
        <v>86.714153589999995</v>
      </c>
      <c r="C12" s="5">
        <v>86.714153589999995</v>
      </c>
      <c r="D12" s="5">
        <v>86.714153589999995</v>
      </c>
      <c r="E12" s="34"/>
      <c r="F12" s="48">
        <v>1885.166983998</v>
      </c>
      <c r="G12" s="48">
        <v>1885.166983998</v>
      </c>
      <c r="H12" s="48">
        <v>1885.166983998</v>
      </c>
      <c r="I12" s="49"/>
      <c r="J12" s="50">
        <f t="shared" si="0"/>
        <v>9689.4408070980007</v>
      </c>
      <c r="K12" s="50">
        <f t="shared" si="2"/>
        <v>9689.4408070980007</v>
      </c>
      <c r="L12" s="53">
        <f t="shared" si="1"/>
        <v>9689.4408070980007</v>
      </c>
      <c r="M12" s="52">
        <f t="shared" si="3"/>
        <v>107660.4534122</v>
      </c>
      <c r="N12" s="52">
        <f t="shared" si="3"/>
        <v>107660.4534122</v>
      </c>
      <c r="O12" s="52">
        <f t="shared" si="3"/>
        <v>107660.4534122</v>
      </c>
      <c r="P12" s="34"/>
      <c r="Q12" s="52">
        <f xml:space="preserve"> Fig_historico_Kaya!K22</f>
        <v>21.631106863732253</v>
      </c>
      <c r="R12" s="52">
        <f>Fig_historico_Kaya!K22</f>
        <v>21.631106863732253</v>
      </c>
      <c r="S12" s="52">
        <f>Fig_historico_Kaya!K22</f>
        <v>21.631106863732253</v>
      </c>
      <c r="T12" s="52"/>
      <c r="U12" s="52">
        <f>Fig_historico_Kaya!L22</f>
        <v>1.946799617735903</v>
      </c>
      <c r="V12" s="52">
        <f>Fig_historico_Kaya!L22</f>
        <v>1.946799617735903</v>
      </c>
      <c r="W12" s="77">
        <f>Fig_historico_Kaya!L22</f>
        <v>1.946799617735903</v>
      </c>
      <c r="X12" s="7"/>
      <c r="Y12" s="5"/>
    </row>
    <row r="13" spans="1:25" ht="15.75" x14ac:dyDescent="0.25">
      <c r="A13" s="74">
        <v>2009</v>
      </c>
      <c r="B13" s="5">
        <v>94.356428561000001</v>
      </c>
      <c r="C13" s="5">
        <v>94.356428561000001</v>
      </c>
      <c r="D13" s="5">
        <v>94.356428561000001</v>
      </c>
      <c r="E13" s="34"/>
      <c r="F13" s="48">
        <v>1665.548948659</v>
      </c>
      <c r="G13" s="48">
        <v>1665.548948659</v>
      </c>
      <c r="H13" s="48">
        <v>1665.548948659</v>
      </c>
      <c r="I13" s="49"/>
      <c r="J13" s="50">
        <f t="shared" si="0"/>
        <v>10157.627519149</v>
      </c>
      <c r="K13" s="50">
        <f t="shared" si="2"/>
        <v>10157.627519149</v>
      </c>
      <c r="L13" s="53">
        <f t="shared" si="1"/>
        <v>10157.627519149</v>
      </c>
      <c r="M13" s="52">
        <f t="shared" si="3"/>
        <v>112862.52799054445</v>
      </c>
      <c r="N13" s="52">
        <f t="shared" si="3"/>
        <v>112862.52799054445</v>
      </c>
      <c r="O13" s="52">
        <f t="shared" si="3"/>
        <v>112862.52799054445</v>
      </c>
      <c r="P13" s="34"/>
      <c r="Q13" s="52">
        <f xml:space="preserve"> Fig_historico_Kaya!K23</f>
        <v>20.981136096813181</v>
      </c>
      <c r="R13" s="52">
        <f>Fig_historico_Kaya!K23</f>
        <v>20.981136096813181</v>
      </c>
      <c r="S13" s="52">
        <f>Fig_historico_Kaya!K23</f>
        <v>20.981136096813181</v>
      </c>
      <c r="T13" s="52"/>
      <c r="U13" s="52">
        <f>Fig_historico_Kaya!L23</f>
        <v>1.8883022487131862</v>
      </c>
      <c r="V13" s="52">
        <f>Fig_historico_Kaya!L23</f>
        <v>1.8883022487131862</v>
      </c>
      <c r="W13" s="77">
        <f>Fig_historico_Kaya!L23</f>
        <v>1.8883022487131862</v>
      </c>
      <c r="X13" s="7"/>
      <c r="Y13" s="5"/>
    </row>
    <row r="14" spans="1:25" ht="15.75" x14ac:dyDescent="0.25">
      <c r="A14" s="74">
        <v>2010</v>
      </c>
      <c r="B14" s="5">
        <v>114.38383960199999</v>
      </c>
      <c r="C14" s="5">
        <v>114.38383960199999</v>
      </c>
      <c r="D14" s="5">
        <v>114.38383960199999</v>
      </c>
      <c r="E14" s="34"/>
      <c r="F14" s="48">
        <v>2322.8588367319999</v>
      </c>
      <c r="G14" s="48">
        <v>2322.8588367319999</v>
      </c>
      <c r="H14" s="48">
        <v>2322.8588367319999</v>
      </c>
      <c r="I14" s="49"/>
      <c r="J14" s="50">
        <f t="shared" si="0"/>
        <v>12617.404400912001</v>
      </c>
      <c r="K14" s="50">
        <f t="shared" si="2"/>
        <v>12617.404400912001</v>
      </c>
      <c r="L14" s="53">
        <f t="shared" si="1"/>
        <v>12617.404400912001</v>
      </c>
      <c r="M14" s="52">
        <f t="shared" si="3"/>
        <v>140193.38223235554</v>
      </c>
      <c r="N14" s="52">
        <f t="shared" si="3"/>
        <v>140193.38223235554</v>
      </c>
      <c r="O14" s="52">
        <f t="shared" si="3"/>
        <v>140193.38223235554</v>
      </c>
      <c r="P14" s="34"/>
      <c r="Q14" s="52">
        <f xml:space="preserve"> Fig_historico_Kaya!K24</f>
        <v>19.38212053015193</v>
      </c>
      <c r="R14" s="52">
        <f>Fig_historico_Kaya!K24</f>
        <v>19.38212053015193</v>
      </c>
      <c r="S14" s="52">
        <f>Fig_historico_Kaya!K24</f>
        <v>19.38212053015193</v>
      </c>
      <c r="T14" s="52"/>
      <c r="U14" s="52">
        <f>Fig_historico_Kaya!L24</f>
        <v>1.744390847713674</v>
      </c>
      <c r="V14" s="52">
        <f>Fig_historico_Kaya!L24</f>
        <v>1.744390847713674</v>
      </c>
      <c r="W14" s="77">
        <f>Fig_historico_Kaya!L24</f>
        <v>1.744390847713674</v>
      </c>
      <c r="X14" s="7"/>
      <c r="Y14" s="5"/>
    </row>
    <row r="15" spans="1:25" ht="15.75" x14ac:dyDescent="0.25">
      <c r="A15" s="74">
        <v>2011</v>
      </c>
      <c r="B15" s="5">
        <v>132.39551621300001</v>
      </c>
      <c r="C15" s="5">
        <v>132.39551621300001</v>
      </c>
      <c r="D15" s="5">
        <v>132.39551621300001</v>
      </c>
      <c r="E15" s="34"/>
      <c r="F15" s="48">
        <v>2724.3433670599998</v>
      </c>
      <c r="G15" s="48">
        <v>2724.3433670599998</v>
      </c>
      <c r="H15" s="48">
        <v>2724.3433670599998</v>
      </c>
      <c r="I15" s="49"/>
      <c r="J15" s="50">
        <f t="shared" si="0"/>
        <v>14639.939826229998</v>
      </c>
      <c r="K15" s="50">
        <f t="shared" si="2"/>
        <v>14639.939826229998</v>
      </c>
      <c r="L15" s="53">
        <f t="shared" si="1"/>
        <v>14639.939826229998</v>
      </c>
      <c r="M15" s="52">
        <f t="shared" si="3"/>
        <v>162665.9980692222</v>
      </c>
      <c r="N15" s="52">
        <f t="shared" si="3"/>
        <v>162665.9980692222</v>
      </c>
      <c r="O15" s="52">
        <f t="shared" si="3"/>
        <v>162665.9980692222</v>
      </c>
      <c r="P15" s="34"/>
      <c r="Q15" s="52">
        <f xml:space="preserve"> Fig_historico_Kaya!K25</f>
        <v>18.55519694122497</v>
      </c>
      <c r="R15" s="52">
        <f>Fig_historico_Kaya!K25</f>
        <v>18.55519694122497</v>
      </c>
      <c r="S15" s="52">
        <f>Fig_historico_Kaya!K25</f>
        <v>18.55519694122497</v>
      </c>
      <c r="T15" s="52"/>
      <c r="U15" s="52">
        <f>Fig_historico_Kaya!L25</f>
        <v>1.6699677247102473</v>
      </c>
      <c r="V15" s="52">
        <f>Fig_historico_Kaya!L25</f>
        <v>1.6699677247102473</v>
      </c>
      <c r="W15" s="77">
        <f>Fig_historico_Kaya!L25</f>
        <v>1.6699677247102473</v>
      </c>
      <c r="X15" s="7"/>
      <c r="Y15" s="5"/>
    </row>
    <row r="16" spans="1:25" ht="15.75" x14ac:dyDescent="0.25">
      <c r="A16" s="74">
        <v>2012</v>
      </c>
      <c r="B16" s="5">
        <v>142.116167856</v>
      </c>
      <c r="C16" s="5">
        <v>142.116167856</v>
      </c>
      <c r="D16" s="5">
        <v>142.116167856</v>
      </c>
      <c r="E16" s="34"/>
      <c r="F16" s="48">
        <v>2555.843214343</v>
      </c>
      <c r="G16" s="48">
        <v>2555.843214343</v>
      </c>
      <c r="H16" s="48">
        <v>2555.843214343</v>
      </c>
      <c r="I16" s="49"/>
      <c r="J16" s="50">
        <f t="shared" si="0"/>
        <v>15346.298321383001</v>
      </c>
      <c r="K16" s="50">
        <f t="shared" si="2"/>
        <v>15346.298321383001</v>
      </c>
      <c r="L16" s="53">
        <f t="shared" si="1"/>
        <v>15346.298321383001</v>
      </c>
      <c r="M16" s="52">
        <f t="shared" si="3"/>
        <v>170514.42579314447</v>
      </c>
      <c r="N16" s="52">
        <f t="shared" si="3"/>
        <v>170514.42579314447</v>
      </c>
      <c r="O16" s="52">
        <f t="shared" si="3"/>
        <v>170514.42579314447</v>
      </c>
      <c r="P16" s="34"/>
      <c r="Q16" s="52">
        <f xml:space="preserve"> Fig_historico_Kaya!K26</f>
        <v>18.566769587522401</v>
      </c>
      <c r="R16" s="52">
        <f>Fig_historico_Kaya!K26</f>
        <v>18.566769587522401</v>
      </c>
      <c r="S16" s="52">
        <f>Fig_historico_Kaya!K26</f>
        <v>18.566769587522401</v>
      </c>
      <c r="T16" s="52"/>
      <c r="U16" s="52">
        <f>Fig_historico_Kaya!L26</f>
        <v>1.6710092628770161</v>
      </c>
      <c r="V16" s="52">
        <f>Fig_historico_Kaya!L26</f>
        <v>1.6710092628770161</v>
      </c>
      <c r="W16" s="77">
        <f>Fig_historico_Kaya!L26</f>
        <v>1.6710092628770161</v>
      </c>
      <c r="X16" s="7"/>
      <c r="Y16" s="5"/>
    </row>
    <row r="17" spans="1:25" ht="15.75" x14ac:dyDescent="0.25">
      <c r="A17" s="74">
        <v>2013</v>
      </c>
      <c r="B17" s="5">
        <v>146.64017536899999</v>
      </c>
      <c r="C17" s="5">
        <v>146.64017536899999</v>
      </c>
      <c r="D17" s="5">
        <v>146.64017536899999</v>
      </c>
      <c r="E17" s="34"/>
      <c r="F17" s="48">
        <v>2671.876238754</v>
      </c>
      <c r="G17" s="48">
        <v>2671.876238754</v>
      </c>
      <c r="H17" s="48">
        <v>2671.876238754</v>
      </c>
      <c r="I17" s="49"/>
      <c r="J17" s="50">
        <f t="shared" si="0"/>
        <v>15869.492021964001</v>
      </c>
      <c r="K17" s="50">
        <f t="shared" si="2"/>
        <v>15869.492021964001</v>
      </c>
      <c r="L17" s="53">
        <f t="shared" si="1"/>
        <v>15869.492021964001</v>
      </c>
      <c r="M17" s="52">
        <f t="shared" si="3"/>
        <v>176327.68913293333</v>
      </c>
      <c r="N17" s="52">
        <f t="shared" si="3"/>
        <v>176327.68913293333</v>
      </c>
      <c r="O17" s="52">
        <f t="shared" si="3"/>
        <v>176327.68913293333</v>
      </c>
      <c r="P17" s="34"/>
      <c r="Q17" s="52">
        <f xml:space="preserve"> Fig_historico_Kaya!K27</f>
        <v>17.875713733267446</v>
      </c>
      <c r="R17" s="52">
        <f>Fig_historico_Kaya!K27</f>
        <v>17.875713733267446</v>
      </c>
      <c r="S17" s="52">
        <f>Fig_historico_Kaya!K27</f>
        <v>17.875713733267446</v>
      </c>
      <c r="T17" s="52"/>
      <c r="U17" s="52">
        <f>Fig_historico_Kaya!L27</f>
        <v>1.6088142359940705</v>
      </c>
      <c r="V17" s="52">
        <f>Fig_historico_Kaya!L27</f>
        <v>1.6088142359940705</v>
      </c>
      <c r="W17" s="77">
        <f>Fig_historico_Kaya!L27</f>
        <v>1.6088142359940705</v>
      </c>
      <c r="X17" s="7"/>
      <c r="Y17" s="5"/>
    </row>
    <row r="18" spans="1:25" ht="15.75" x14ac:dyDescent="0.25">
      <c r="A18" s="74">
        <v>2014</v>
      </c>
      <c r="B18" s="5">
        <v>157.39270220499998</v>
      </c>
      <c r="C18" s="5">
        <v>157.39270220499998</v>
      </c>
      <c r="D18" s="5">
        <v>157.39270220499998</v>
      </c>
      <c r="E18" s="34"/>
      <c r="F18" s="48">
        <v>2791.9761928520002</v>
      </c>
      <c r="G18" s="48">
        <v>2791.9761928520002</v>
      </c>
      <c r="H18" s="48">
        <v>2791.9761928520002</v>
      </c>
      <c r="I18" s="49"/>
      <c r="J18" s="50">
        <f t="shared" si="0"/>
        <v>16957.319391302</v>
      </c>
      <c r="K18" s="50">
        <f t="shared" si="2"/>
        <v>16957.319391302</v>
      </c>
      <c r="L18" s="53">
        <f t="shared" si="1"/>
        <v>16957.319391302</v>
      </c>
      <c r="M18" s="52">
        <f t="shared" si="3"/>
        <v>188414.65990335552</v>
      </c>
      <c r="N18" s="52">
        <f t="shared" si="3"/>
        <v>188414.65990335552</v>
      </c>
      <c r="O18" s="52">
        <f t="shared" si="3"/>
        <v>188414.65990335552</v>
      </c>
      <c r="P18" s="34"/>
      <c r="Q18" s="52">
        <f xml:space="preserve"> Fig_historico_Kaya!K28</f>
        <v>17.192104021673195</v>
      </c>
      <c r="R18" s="52">
        <f>Fig_historico_Kaya!K28</f>
        <v>17.192104021673195</v>
      </c>
      <c r="S18" s="52">
        <f>Fig_historico_Kaya!K28</f>
        <v>17.192104021673195</v>
      </c>
      <c r="T18" s="52"/>
      <c r="U18" s="52">
        <f>Fig_historico_Kaya!L28</f>
        <v>1.5472893619505879</v>
      </c>
      <c r="V18" s="52">
        <f>Fig_historico_Kaya!L28</f>
        <v>1.5472893619505879</v>
      </c>
      <c r="W18" s="77">
        <f>Fig_historico_Kaya!L28</f>
        <v>1.5472893619505879</v>
      </c>
      <c r="X18" s="7"/>
      <c r="Y18" s="5"/>
    </row>
    <row r="19" spans="1:25" ht="15.75" x14ac:dyDescent="0.25">
      <c r="A19" s="74">
        <v>2015</v>
      </c>
      <c r="B19" s="5">
        <v>158.96848906299999</v>
      </c>
      <c r="C19" s="5">
        <v>158.96848906299999</v>
      </c>
      <c r="D19" s="5">
        <v>158.96848906299999</v>
      </c>
      <c r="E19" s="34"/>
      <c r="F19" s="48">
        <v>2728.9560408150001</v>
      </c>
      <c r="G19" s="48">
        <v>2728.9560408150001</v>
      </c>
      <c r="H19" s="48">
        <v>2728.9560408150001</v>
      </c>
      <c r="I19" s="49"/>
      <c r="J19" s="50">
        <f t="shared" si="0"/>
        <v>17036.120056485001</v>
      </c>
      <c r="K19" s="50">
        <f t="shared" si="2"/>
        <v>17036.120056485001</v>
      </c>
      <c r="L19" s="53">
        <f t="shared" si="1"/>
        <v>17036.120056485001</v>
      </c>
      <c r="M19" s="52">
        <f t="shared" si="3"/>
        <v>189290.22284983331</v>
      </c>
      <c r="N19" s="52">
        <f t="shared" si="3"/>
        <v>189290.22284983331</v>
      </c>
      <c r="O19" s="52">
        <f t="shared" si="3"/>
        <v>189290.22284983331</v>
      </c>
      <c r="P19" s="34"/>
      <c r="Q19" s="52">
        <f xml:space="preserve"> Fig_historico_Kaya!K29</f>
        <v>16.575707500711399</v>
      </c>
      <c r="R19" s="52">
        <f>Fig_historico_Kaya!K29</f>
        <v>16.575707500711399</v>
      </c>
      <c r="S19" s="52">
        <f>Fig_historico_Kaya!K29</f>
        <v>16.575707500711399</v>
      </c>
      <c r="T19" s="52"/>
      <c r="U19" s="52">
        <f>Fig_historico_Kaya!L29</f>
        <v>1.4918136750640261</v>
      </c>
      <c r="V19" s="52">
        <f>Fig_historico_Kaya!L29</f>
        <v>1.4918136750640261</v>
      </c>
      <c r="W19" s="77">
        <f>Fig_historico_Kaya!L29</f>
        <v>1.4918136750640261</v>
      </c>
      <c r="X19" s="7"/>
      <c r="Y19" s="5"/>
    </row>
    <row r="20" spans="1:25" ht="15.75" x14ac:dyDescent="0.25">
      <c r="A20" s="74">
        <v>2016</v>
      </c>
      <c r="B20" s="5">
        <v>151.72646445199999</v>
      </c>
      <c r="C20" s="5">
        <v>151.72646445199999</v>
      </c>
      <c r="D20" s="5">
        <v>151.72646445199999</v>
      </c>
      <c r="E20" s="34"/>
      <c r="F20" s="48">
        <v>2677.9105025569997</v>
      </c>
      <c r="G20" s="48">
        <v>2677.9105025569997</v>
      </c>
      <c r="H20" s="48">
        <v>2677.9105025569997</v>
      </c>
      <c r="I20" s="49"/>
      <c r="J20" s="50">
        <f t="shared" si="0"/>
        <v>16333.292303236998</v>
      </c>
      <c r="K20" s="50">
        <f t="shared" si="2"/>
        <v>16333.292303236998</v>
      </c>
      <c r="L20" s="53">
        <f t="shared" si="1"/>
        <v>16333.292303236998</v>
      </c>
      <c r="M20" s="52">
        <f t="shared" si="3"/>
        <v>181481.02559152219</v>
      </c>
      <c r="N20" s="52">
        <f t="shared" si="3"/>
        <v>181481.02559152219</v>
      </c>
      <c r="O20" s="52">
        <f t="shared" si="3"/>
        <v>181481.02559152219</v>
      </c>
      <c r="P20" s="34"/>
      <c r="Q20" s="52">
        <f xml:space="preserve"> Fig_historico_Kaya!K30</f>
        <v>16.189969992583379</v>
      </c>
      <c r="R20" s="52">
        <f>Fig_historico_Kaya!K30</f>
        <v>16.189969992583379</v>
      </c>
      <c r="S20" s="52">
        <f>Fig_historico_Kaya!K30</f>
        <v>16.189969992583379</v>
      </c>
      <c r="T20" s="52"/>
      <c r="U20" s="52">
        <f>Fig_historico_Kaya!L30</f>
        <v>1.457097299332504</v>
      </c>
      <c r="V20" s="52">
        <f>Fig_historico_Kaya!L30</f>
        <v>1.457097299332504</v>
      </c>
      <c r="W20" s="77">
        <f>Fig_historico_Kaya!L30</f>
        <v>1.457097299332504</v>
      </c>
      <c r="X20" s="7"/>
      <c r="Y20" s="5"/>
    </row>
    <row r="21" spans="1:25" ht="15.75" x14ac:dyDescent="0.25">
      <c r="A21" s="74">
        <v>2017</v>
      </c>
      <c r="B21" s="5">
        <v>156.25581878899999</v>
      </c>
      <c r="C21" s="5">
        <v>156.25581878899999</v>
      </c>
      <c r="D21" s="5">
        <v>156.25581878899999</v>
      </c>
      <c r="E21" s="34"/>
      <c r="F21" s="48">
        <v>2794.038987288</v>
      </c>
      <c r="G21" s="48">
        <v>2794.038987288</v>
      </c>
      <c r="H21" s="48">
        <v>2794.038987288</v>
      </c>
      <c r="I21" s="49"/>
      <c r="J21" s="50">
        <f t="shared" si="0"/>
        <v>16857.062678297996</v>
      </c>
      <c r="K21" s="50">
        <f t="shared" si="2"/>
        <v>16857.062678297996</v>
      </c>
      <c r="L21" s="53">
        <f t="shared" si="1"/>
        <v>16857.062678297996</v>
      </c>
      <c r="M21" s="52">
        <f t="shared" si="3"/>
        <v>187300.69642553333</v>
      </c>
      <c r="N21" s="52">
        <f t="shared" si="3"/>
        <v>187300.69642553333</v>
      </c>
      <c r="O21" s="52">
        <f t="shared" si="3"/>
        <v>187300.69642553333</v>
      </c>
      <c r="P21" s="34"/>
      <c r="Q21" s="52">
        <f xml:space="preserve"> Fig_historico_Kaya!K31</f>
        <v>15.45628273693449</v>
      </c>
      <c r="R21" s="52">
        <f>Fig_historico_Kaya!K31</f>
        <v>15.45628273693449</v>
      </c>
      <c r="S21" s="52">
        <f>Fig_historico_Kaya!K31</f>
        <v>15.45628273693449</v>
      </c>
      <c r="T21" s="52"/>
      <c r="U21" s="52">
        <f>Fig_historico_Kaya!L31</f>
        <v>1.3910654463241039</v>
      </c>
      <c r="V21" s="52">
        <f>Fig_historico_Kaya!L31</f>
        <v>1.3910654463241039</v>
      </c>
      <c r="W21" s="77">
        <f>Fig_historico_Kaya!L31</f>
        <v>1.3910654463241039</v>
      </c>
      <c r="X21" s="7"/>
      <c r="Y21" s="5"/>
    </row>
    <row r="22" spans="1:25" ht="15.75" x14ac:dyDescent="0.25">
      <c r="A22" s="74">
        <v>2018</v>
      </c>
      <c r="B22" s="5">
        <v>167.19784079499999</v>
      </c>
      <c r="C22" s="5">
        <v>167.19784079499999</v>
      </c>
      <c r="D22" s="5">
        <v>167.19784079499999</v>
      </c>
      <c r="E22" s="34"/>
      <c r="F22" s="48">
        <v>3357.9307811150002</v>
      </c>
      <c r="G22" s="48">
        <v>3357.9307811150002</v>
      </c>
      <c r="H22" s="48">
        <v>3357.9307811150002</v>
      </c>
      <c r="I22" s="49"/>
      <c r="J22" s="50">
        <f t="shared" si="0"/>
        <v>18405.736452665002</v>
      </c>
      <c r="K22" s="50">
        <f t="shared" si="2"/>
        <v>18405.736452665002</v>
      </c>
      <c r="L22" s="53">
        <f t="shared" si="1"/>
        <v>18405.736452665002</v>
      </c>
      <c r="M22" s="52">
        <f t="shared" si="3"/>
        <v>204508.18280738889</v>
      </c>
      <c r="N22" s="52">
        <f t="shared" si="3"/>
        <v>204508.18280738889</v>
      </c>
      <c r="O22" s="52">
        <f t="shared" si="3"/>
        <v>204508.18280738889</v>
      </c>
      <c r="P22" s="34"/>
      <c r="Q22" s="52">
        <f xml:space="preserve"> Fig_historico_Kaya!K32</f>
        <v>15.149716147876603</v>
      </c>
      <c r="R22" s="52">
        <f>Fig_historico_Kaya!K32</f>
        <v>15.149716147876603</v>
      </c>
      <c r="S22" s="52">
        <f>Fig_historico_Kaya!K32</f>
        <v>15.149716147876603</v>
      </c>
      <c r="T22" s="52"/>
      <c r="U22" s="52">
        <f>Fig_historico_Kaya!L32</f>
        <v>1.3634744533088945</v>
      </c>
      <c r="V22" s="52">
        <f>Fig_historico_Kaya!L32</f>
        <v>1.3634744533088945</v>
      </c>
      <c r="W22" s="77">
        <f>Fig_historico_Kaya!L32</f>
        <v>1.3634744533088945</v>
      </c>
      <c r="X22" s="7"/>
      <c r="Y22" s="5"/>
    </row>
    <row r="23" spans="1:25" ht="15.75" x14ac:dyDescent="0.25">
      <c r="A23" s="74">
        <v>2019</v>
      </c>
      <c r="B23" s="5">
        <v>168.44227433700001</v>
      </c>
      <c r="C23" s="5">
        <v>168.44227433700001</v>
      </c>
      <c r="D23" s="5">
        <v>168.44227433700001</v>
      </c>
      <c r="E23" s="34"/>
      <c r="F23" s="48">
        <v>3008.1193706980002</v>
      </c>
      <c r="G23" s="48">
        <v>3008.1193706980002</v>
      </c>
      <c r="H23" s="48">
        <v>3008.1193706980002</v>
      </c>
      <c r="I23" s="49"/>
      <c r="J23" s="50">
        <f t="shared" si="0"/>
        <v>18167.924061027999</v>
      </c>
      <c r="K23" s="50">
        <f t="shared" si="2"/>
        <v>18167.924061027999</v>
      </c>
      <c r="L23" s="53">
        <f t="shared" si="1"/>
        <v>18167.924061027999</v>
      </c>
      <c r="M23" s="52">
        <f t="shared" si="3"/>
        <v>201865.82290031112</v>
      </c>
      <c r="N23" s="52">
        <f t="shared" si="3"/>
        <v>201865.82290031112</v>
      </c>
      <c r="O23" s="52">
        <f t="shared" si="3"/>
        <v>201865.82290031112</v>
      </c>
      <c r="P23" s="34"/>
      <c r="Q23" s="52">
        <f xml:space="preserve"> Fig_historico_Kaya!K33</f>
        <v>14.955053322070425</v>
      </c>
      <c r="R23" s="52">
        <f>Fig_historico_Kaya!K33</f>
        <v>14.955053322070425</v>
      </c>
      <c r="S23" s="52">
        <f>Fig_historico_Kaya!K33</f>
        <v>14.955053322070425</v>
      </c>
      <c r="T23" s="52"/>
      <c r="U23" s="52">
        <f>Fig_historico_Kaya!L33</f>
        <v>1.3459547989863381</v>
      </c>
      <c r="V23" s="52">
        <f>Fig_historico_Kaya!L33</f>
        <v>1.3459547989863381</v>
      </c>
      <c r="W23" s="77">
        <f>Fig_historico_Kaya!L33</f>
        <v>1.3459547989863381</v>
      </c>
      <c r="X23" s="7"/>
      <c r="Y23" s="5"/>
    </row>
    <row r="24" spans="1:25" ht="15.75" x14ac:dyDescent="0.25">
      <c r="A24" s="74">
        <v>2020</v>
      </c>
      <c r="B24" s="5">
        <v>69.440312754999994</v>
      </c>
      <c r="C24" s="5">
        <v>69.440312754999994</v>
      </c>
      <c r="D24" s="5">
        <v>69.440312754999994</v>
      </c>
      <c r="E24" s="34"/>
      <c r="F24" s="48">
        <v>2414.819966732</v>
      </c>
      <c r="G24" s="48">
        <v>2414.819966732</v>
      </c>
      <c r="H24" s="48">
        <v>2414.819966732</v>
      </c>
      <c r="I24" s="49"/>
      <c r="J24" s="50">
        <f t="shared" si="0"/>
        <v>8664.4481146819999</v>
      </c>
      <c r="K24" s="50">
        <f t="shared" si="2"/>
        <v>8664.4481146819999</v>
      </c>
      <c r="L24" s="53">
        <f t="shared" si="1"/>
        <v>8664.4481146819999</v>
      </c>
      <c r="M24" s="52">
        <f t="shared" si="3"/>
        <v>96271.645718688873</v>
      </c>
      <c r="N24" s="52">
        <f t="shared" si="3"/>
        <v>96271.645718688873</v>
      </c>
      <c r="O24" s="52">
        <f t="shared" si="3"/>
        <v>96271.645718688873</v>
      </c>
      <c r="P24" s="34"/>
      <c r="Q24" s="52">
        <f xml:space="preserve"> Fig_historico_Kaya!K34</f>
        <v>15.928959025806968</v>
      </c>
      <c r="R24" s="52">
        <f>Fig_historico_Kaya!K34</f>
        <v>15.928959025806968</v>
      </c>
      <c r="S24" s="52">
        <f>Fig_historico_Kaya!K34</f>
        <v>15.928959025806968</v>
      </c>
      <c r="T24" s="52"/>
      <c r="U24" s="52">
        <f>Fig_historico_Kaya!L34</f>
        <v>1.4336063123226273</v>
      </c>
      <c r="V24" s="52">
        <f>Fig_historico_Kaya!L34</f>
        <v>1.4336063123226273</v>
      </c>
      <c r="W24" s="77">
        <f>Fig_historico_Kaya!L34</f>
        <v>1.4336063123226273</v>
      </c>
      <c r="X24" s="7"/>
      <c r="Y24" s="5"/>
    </row>
    <row r="25" spans="1:25" ht="15.75" x14ac:dyDescent="0.25">
      <c r="A25" s="74">
        <v>2021</v>
      </c>
      <c r="B25" s="5">
        <v>87.453198087000004</v>
      </c>
      <c r="C25" s="5">
        <v>87.453198087000004</v>
      </c>
      <c r="D25" s="5">
        <v>87.453198087000004</v>
      </c>
      <c r="E25" s="34"/>
      <c r="F25" s="48">
        <v>3276.8287294619995</v>
      </c>
      <c r="G25" s="48">
        <v>3276.8287294619995</v>
      </c>
      <c r="H25" s="48">
        <v>3276.8287294619995</v>
      </c>
      <c r="I25" s="49"/>
      <c r="J25" s="50">
        <f t="shared" si="0"/>
        <v>11147.616557292</v>
      </c>
      <c r="K25" s="50">
        <f t="shared" si="2"/>
        <v>11147.616557292</v>
      </c>
      <c r="L25" s="53">
        <f t="shared" si="1"/>
        <v>11147.616557292</v>
      </c>
      <c r="M25" s="52">
        <f t="shared" si="3"/>
        <v>123862.40619213332</v>
      </c>
      <c r="N25" s="52">
        <f t="shared" si="3"/>
        <v>123862.40619213332</v>
      </c>
      <c r="O25" s="52">
        <f t="shared" si="3"/>
        <v>123862.40619213332</v>
      </c>
      <c r="P25" s="34"/>
      <c r="Q25" s="52">
        <f xml:space="preserve"> Fig_historico_Kaya!K35</f>
        <v>15.310341228534362</v>
      </c>
      <c r="R25" s="52">
        <f>Fig_historico_Kaya!K35</f>
        <v>15.310341228534362</v>
      </c>
      <c r="S25" s="52">
        <f>Fig_historico_Kaya!K35</f>
        <v>15.310341228534362</v>
      </c>
      <c r="T25" s="52"/>
      <c r="U25" s="52">
        <f>Fig_historico_Kaya!L35</f>
        <v>1.3779307105680929</v>
      </c>
      <c r="V25" s="52">
        <f>Fig_historico_Kaya!L35</f>
        <v>1.3779307105680929</v>
      </c>
      <c r="W25" s="77">
        <f>Fig_historico_Kaya!L35</f>
        <v>1.3779307105680929</v>
      </c>
      <c r="X25" s="7"/>
      <c r="Y25" s="5"/>
    </row>
    <row r="26" spans="1:25" ht="15.75" x14ac:dyDescent="0.25">
      <c r="A26" s="74">
        <v>2022</v>
      </c>
      <c r="B26" s="5">
        <v>141.30989297159999</v>
      </c>
      <c r="C26" s="5">
        <v>141.30989297159999</v>
      </c>
      <c r="D26" s="5">
        <v>141.30989297159999</v>
      </c>
      <c r="E26" s="34"/>
      <c r="F26" s="48">
        <v>3151.798699765</v>
      </c>
      <c r="G26" s="48">
        <v>3151.798699765</v>
      </c>
      <c r="H26" s="48">
        <v>3151.798699765</v>
      </c>
      <c r="I26" s="49"/>
      <c r="J26" s="50">
        <f t="shared" si="0"/>
        <v>15869.689067208999</v>
      </c>
      <c r="K26" s="50">
        <f t="shared" si="2"/>
        <v>15869.689067208999</v>
      </c>
      <c r="L26" s="53">
        <f t="shared" si="1"/>
        <v>15869.689067208999</v>
      </c>
      <c r="M26" s="52">
        <f t="shared" si="3"/>
        <v>176329.87852454445</v>
      </c>
      <c r="N26" s="52">
        <f t="shared" si="3"/>
        <v>176329.87852454445</v>
      </c>
      <c r="O26" s="52">
        <f t="shared" si="3"/>
        <v>176329.87852454445</v>
      </c>
      <c r="P26" s="34"/>
      <c r="Q26" s="52">
        <f xml:space="preserve"> Fig_historico_Kaya!K36</f>
        <v>14.706149427046395</v>
      </c>
      <c r="R26" s="52">
        <f>Fig_historico_Kaya!K36</f>
        <v>14.706149427046395</v>
      </c>
      <c r="S26" s="52">
        <f>Fig_historico_Kaya!K36</f>
        <v>14.706149427046395</v>
      </c>
      <c r="T26" s="52"/>
      <c r="U26" s="52">
        <f>Fig_historico_Kaya!L36</f>
        <v>1.3235534484341756</v>
      </c>
      <c r="V26" s="52">
        <f>Fig_historico_Kaya!L36</f>
        <v>1.3235534484341756</v>
      </c>
      <c r="W26" s="77">
        <f>Fig_historico_Kaya!L36</f>
        <v>1.3235534484341756</v>
      </c>
      <c r="X26" s="7"/>
      <c r="Y26" s="5"/>
    </row>
    <row r="27" spans="1:25" ht="15.75" x14ac:dyDescent="0.25">
      <c r="A27" s="75">
        <v>2023</v>
      </c>
      <c r="B27" s="13">
        <v>161.86390288799998</v>
      </c>
      <c r="C27" s="13">
        <v>161.86390288799998</v>
      </c>
      <c r="D27" s="13">
        <v>161.86390288799998</v>
      </c>
      <c r="E27" s="35"/>
      <c r="F27" s="54">
        <v>3088.471982299</v>
      </c>
      <c r="G27" s="54">
        <v>3088.471982299</v>
      </c>
      <c r="H27" s="54">
        <v>3088.471982299</v>
      </c>
      <c r="I27" s="55"/>
      <c r="J27" s="56">
        <f t="shared" si="0"/>
        <v>17656.223242218999</v>
      </c>
      <c r="K27" s="56">
        <f t="shared" si="2"/>
        <v>17656.223242218999</v>
      </c>
      <c r="L27" s="57">
        <f t="shared" si="1"/>
        <v>17656.223242218999</v>
      </c>
      <c r="M27" s="58">
        <f t="shared" si="3"/>
        <v>196180.25824687775</v>
      </c>
      <c r="N27" s="58">
        <f t="shared" si="3"/>
        <v>196180.25824687775</v>
      </c>
      <c r="O27" s="58">
        <f t="shared" si="3"/>
        <v>196180.25824687775</v>
      </c>
      <c r="P27" s="35"/>
      <c r="Q27" s="58">
        <f xml:space="preserve"> Fig_historico_Kaya!K37</f>
        <v>14.812096445987896</v>
      </c>
      <c r="R27" s="58">
        <f>Fig_historico_Kaya!K37</f>
        <v>14.812096445987896</v>
      </c>
      <c r="S27" s="58">
        <f>Fig_historico_Kaya!K37</f>
        <v>14.812096445987896</v>
      </c>
      <c r="T27" s="58"/>
      <c r="U27" s="58">
        <f>Fig_historico_Kaya!L37</f>
        <v>1.3330886801389106</v>
      </c>
      <c r="V27" s="58">
        <f>Fig_historico_Kaya!L37</f>
        <v>1.3330886801389106</v>
      </c>
      <c r="W27" s="78">
        <f>Fig_historico_Kaya!L37</f>
        <v>1.3330886801389106</v>
      </c>
    </row>
    <row r="28" spans="1:25" ht="15.75" x14ac:dyDescent="0.25">
      <c r="A28" s="76">
        <v>2024</v>
      </c>
      <c r="B28" s="100">
        <f>B23</f>
        <v>168.44227433700001</v>
      </c>
      <c r="C28" s="101">
        <f xml:space="preserve"> C23</f>
        <v>168.44227433700001</v>
      </c>
      <c r="D28" s="101">
        <f xml:space="preserve"> D23</f>
        <v>168.44227433700001</v>
      </c>
      <c r="E28" s="36"/>
      <c r="F28" s="61">
        <f xml:space="preserve"> F23</f>
        <v>3008.1193706980002</v>
      </c>
      <c r="G28" s="60">
        <f>G23</f>
        <v>3008.1193706980002</v>
      </c>
      <c r="H28" s="60">
        <f>H23</f>
        <v>3008.1193706980002</v>
      </c>
      <c r="I28" s="62"/>
      <c r="J28" s="63">
        <f t="shared" ref="J28:J53" si="4">(((B28*10^3)*90)/10^3)+F28</f>
        <v>18167.924061027999</v>
      </c>
      <c r="K28" s="60">
        <f xml:space="preserve"> (((C28*10^3)*90)/10^3)+G28</f>
        <v>18167.924061027999</v>
      </c>
      <c r="L28" s="64">
        <f xml:space="preserve"> (((D28*10^3)*90)/10^3)+H28</f>
        <v>18167.924061027999</v>
      </c>
      <c r="M28" s="65">
        <f t="shared" si="3"/>
        <v>201865.82290031112</v>
      </c>
      <c r="N28" s="65">
        <f xml:space="preserve"> ((G28*10^3)/90)+(C28*10^3)</f>
        <v>201865.82290031112</v>
      </c>
      <c r="O28" s="65">
        <f>((28*10^3)/90)+(D28*10^3)</f>
        <v>168753.38544811113</v>
      </c>
      <c r="P28" s="36"/>
      <c r="Q28" s="65">
        <f xml:space="preserve"> Q27*0.9904</f>
        <v>14.669900320106411</v>
      </c>
      <c r="R28" s="65">
        <f>(($R$54-$R$27)/27)+R27</f>
        <v>14.66342688536335</v>
      </c>
      <c r="S28" s="65">
        <f xml:space="preserve"> (($S$54-$S$27)/27)+S27</f>
        <v>14.625025153836715</v>
      </c>
      <c r="T28" s="65"/>
      <c r="U28" s="65">
        <f xml:space="preserve"> U27*0.9904</f>
        <v>1.320291028809577</v>
      </c>
      <c r="V28" s="65">
        <f>(($V$54-$V$27)/27)+V27</f>
        <v>1.3197577933375215</v>
      </c>
      <c r="W28" s="79">
        <f>(($W$54-$W$27)/27)+W27</f>
        <v>1.3162522638453042</v>
      </c>
      <c r="X28" s="60"/>
      <c r="Y28" s="5"/>
    </row>
    <row r="29" spans="1:25" ht="15.75" x14ac:dyDescent="0.25">
      <c r="A29" s="76">
        <v>2025</v>
      </c>
      <c r="B29" s="100">
        <f xml:space="preserve"> ($B$28/($B$94^(B$57)))*B95^(B$57)</f>
        <v>172.05381304930467</v>
      </c>
      <c r="C29" s="101">
        <f xml:space="preserve"> ($C$28/($B$94^(C$57)))*B95^(C$57)</f>
        <v>171.18208948992066</v>
      </c>
      <c r="D29" s="101">
        <f xml:space="preserve"> D28* Fig_historico_Kaya!P$39 + D28</f>
        <v>173.55069514095385</v>
      </c>
      <c r="E29" s="36"/>
      <c r="F29" s="61">
        <f xml:space="preserve">  ($F$28/($B$94^(B$57)))*B95^(B$57)</f>
        <v>3072.6158850158613</v>
      </c>
      <c r="G29" s="60">
        <f xml:space="preserve"> ($G$28/($B$94^(C$57)))*B95^(C$57)</f>
        <v>3057.048245982262</v>
      </c>
      <c r="H29" s="60">
        <f xml:space="preserve"> H28* Fig_historico_Kaya!P$39 + H28</f>
        <v>3099.3478917716716</v>
      </c>
      <c r="I29" s="62"/>
      <c r="J29" s="63">
        <f t="shared" si="4"/>
        <v>18557.459059453282</v>
      </c>
      <c r="K29" s="60">
        <f xml:space="preserve"> (((C29*10^3)*90)/10^3)+G29</f>
        <v>18463.436300075122</v>
      </c>
      <c r="L29" s="64">
        <f t="shared" ref="L29:L53" si="5" xml:space="preserve"> (((D29*10^3)*90)/10^3)+H29</f>
        <v>18718.910454457517</v>
      </c>
      <c r="M29" s="65">
        <f t="shared" si="3"/>
        <v>206193.9895494809</v>
      </c>
      <c r="N29" s="65">
        <f xml:space="preserve"> ((G29*10^3)/90)+(C29*10^3)</f>
        <v>205149.29222305689</v>
      </c>
      <c r="O29" s="65">
        <f t="shared" ref="O29:O54" si="6">((28*10^3)/90)+(D29*10^3)</f>
        <v>173861.80625206497</v>
      </c>
      <c r="P29" s="36"/>
      <c r="Q29" s="65">
        <f t="shared" ref="Q29:Q54" si="7" xml:space="preserve"> Q28*0.9904</f>
        <v>14.529069277033388</v>
      </c>
      <c r="R29" s="65">
        <f t="shared" ref="R29:R53" si="8">(($R$54-$R$27)/27)+R28</f>
        <v>14.514757324738804</v>
      </c>
      <c r="S29" s="65">
        <f t="shared" ref="S29:S53" si="9" xml:space="preserve"> (($S$54-$S$27)/27)+S28</f>
        <v>14.437953861685534</v>
      </c>
      <c r="T29" s="65"/>
      <c r="U29" s="65">
        <f t="shared" ref="U29:U54" si="10" xml:space="preserve"> U28*0.9904</f>
        <v>1.3076162349330049</v>
      </c>
      <c r="V29" s="65">
        <f t="shared" ref="V29:V53" si="11">(($V$54-$V$27)/27)+V28</f>
        <v>1.3064269065361325</v>
      </c>
      <c r="W29" s="79">
        <f t="shared" ref="W29:W53" si="12">(($W$54-$W$27)/27)+W28</f>
        <v>1.2994158475516979</v>
      </c>
      <c r="X29" s="60"/>
      <c r="Y29" s="5"/>
    </row>
    <row r="30" spans="1:25" ht="15.75" x14ac:dyDescent="0.25">
      <c r="A30" s="76">
        <v>2026</v>
      </c>
      <c r="B30" s="100">
        <f t="shared" ref="B30:B54" si="13" xml:space="preserve"> ($B$28/($B$94^(B$57)))*B96^(B$57)</f>
        <v>175.74278607506682</v>
      </c>
      <c r="C30" s="101">
        <f xml:space="preserve"> ($C$28/($B$94^(C$57)))*B96^(C$57)</f>
        <v>173.96646938825168</v>
      </c>
      <c r="D30" s="101">
        <f xml:space="preserve"> D29* Fig_historico_Kaya!P$39 + D29</f>
        <v>178.81404120469168</v>
      </c>
      <c r="E30" s="36"/>
      <c r="F30" s="61">
        <f t="shared" ref="F30:F54" si="14" xml:space="preserve">  ($F$28/($B$94^(B$57)))*B96^(B$57)</f>
        <v>3138.4952568092872</v>
      </c>
      <c r="G30" s="60">
        <f t="shared" ref="G30:G54" si="15" xml:space="preserve"> ($G$28/($B$94^(C$57)))*B96^(C$57)</f>
        <v>3106.7729789242694</v>
      </c>
      <c r="H30" s="60">
        <f xml:space="preserve"> H29* Fig_historico_Kaya!P$39 + H29</f>
        <v>3193.343139172217</v>
      </c>
      <c r="I30" s="62"/>
      <c r="J30" s="63">
        <f t="shared" si="4"/>
        <v>18955.346003565301</v>
      </c>
      <c r="K30" s="60">
        <f t="shared" ref="K30:K53" si="16" xml:space="preserve"> (((C30*10^3)*90)/10^3)+G30</f>
        <v>18763.755223866923</v>
      </c>
      <c r="L30" s="64">
        <f t="shared" si="5"/>
        <v>19286.60684759447</v>
      </c>
      <c r="M30" s="65">
        <f t="shared" si="3"/>
        <v>210614.95559517</v>
      </c>
      <c r="N30" s="65">
        <f t="shared" ref="N30:N54" si="17" xml:space="preserve"> ((G30*10^3)/90)+(C30*10^3)</f>
        <v>208486.1691540769</v>
      </c>
      <c r="O30" s="65">
        <f t="shared" si="6"/>
        <v>179125.15231580281</v>
      </c>
      <c r="P30" s="36"/>
      <c r="Q30" s="65">
        <f t="shared" si="7"/>
        <v>14.389590211973866</v>
      </c>
      <c r="R30" s="65">
        <f t="shared" si="8"/>
        <v>14.366087764114258</v>
      </c>
      <c r="S30" s="65">
        <f t="shared" si="9"/>
        <v>14.250882569534353</v>
      </c>
      <c r="T30" s="65">
        <v>0.21</v>
      </c>
      <c r="U30" s="65">
        <f t="shared" si="10"/>
        <v>1.295063119077648</v>
      </c>
      <c r="V30" s="65">
        <f t="shared" si="11"/>
        <v>1.2930960197347434</v>
      </c>
      <c r="W30" s="79">
        <f t="shared" si="12"/>
        <v>1.2825794312580916</v>
      </c>
      <c r="X30" s="60">
        <v>0.02</v>
      </c>
      <c r="Y30" s="5"/>
    </row>
    <row r="31" spans="1:25" ht="15.75" x14ac:dyDescent="0.25">
      <c r="A31" s="76">
        <v>2027</v>
      </c>
      <c r="B31" s="100">
        <f t="shared" si="13"/>
        <v>179.51085366864811</v>
      </c>
      <c r="C31" s="101">
        <f t="shared" ref="C31:C54" si="18" xml:space="preserve"> ($C$28/($B$94^(C$57)))*B97^(C$57)</f>
        <v>176.79613890444693</v>
      </c>
      <c r="D31" s="101">
        <f xml:space="preserve"> D30* Fig_historico_Kaya!P$39 + D30</f>
        <v>184.23701101274332</v>
      </c>
      <c r="E31" s="36"/>
      <c r="F31" s="61">
        <f t="shared" si="14"/>
        <v>3205.7871356619435</v>
      </c>
      <c r="G31" s="60">
        <f t="shared" si="15"/>
        <v>3157.3065146286781</v>
      </c>
      <c r="H31" s="60">
        <f xml:space="preserve"> H30* Fig_historico_Kaya!P$39 + H30</f>
        <v>3290.1890205907589</v>
      </c>
      <c r="I31" s="62"/>
      <c r="J31" s="63">
        <f t="shared" si="4"/>
        <v>19361.763965840273</v>
      </c>
      <c r="K31" s="60">
        <f t="shared" si="16"/>
        <v>19068.959016028904</v>
      </c>
      <c r="L31" s="64">
        <f t="shared" si="5"/>
        <v>19871.520011737655</v>
      </c>
      <c r="M31" s="65">
        <f t="shared" si="3"/>
        <v>215130.71073155859</v>
      </c>
      <c r="N31" s="65">
        <f t="shared" si="17"/>
        <v>211877.32240032114</v>
      </c>
      <c r="O31" s="65">
        <f t="shared" si="6"/>
        <v>184548.12212385444</v>
      </c>
      <c r="P31" s="36"/>
      <c r="Q31" s="65">
        <f t="shared" si="7"/>
        <v>14.251450145938916</v>
      </c>
      <c r="R31" s="65">
        <f t="shared" si="8"/>
        <v>14.217418203489713</v>
      </c>
      <c r="S31" s="65">
        <f t="shared" si="9"/>
        <v>14.063811277383172</v>
      </c>
      <c r="T31" s="65"/>
      <c r="U31" s="65">
        <f t="shared" si="10"/>
        <v>1.2826305131345026</v>
      </c>
      <c r="V31" s="65">
        <f t="shared" si="11"/>
        <v>1.2797651329333544</v>
      </c>
      <c r="W31" s="79">
        <f t="shared" si="12"/>
        <v>1.2657430149644853</v>
      </c>
      <c r="X31" s="60"/>
      <c r="Y31" s="5"/>
    </row>
    <row r="32" spans="1:25" ht="15.75" x14ac:dyDescent="0.25">
      <c r="A32" s="76">
        <v>2028</v>
      </c>
      <c r="B32" s="100">
        <f t="shared" si="13"/>
        <v>183.35971168160816</v>
      </c>
      <c r="C32" s="101">
        <f t="shared" si="18"/>
        <v>179.67183470144832</v>
      </c>
      <c r="D32" s="101">
        <f xml:space="preserve"> D31* Fig_historico_Kaya!P$39 + D31</f>
        <v>189.82444554258589</v>
      </c>
      <c r="E32" s="36"/>
      <c r="F32" s="61">
        <f t="shared" si="14"/>
        <v>3274.5218068685776</v>
      </c>
      <c r="G32" s="60">
        <f t="shared" si="15"/>
        <v>3208.6620087600854</v>
      </c>
      <c r="H32" s="60">
        <f xml:space="preserve"> H31* Fig_historico_Kaya!P$39 + H31</f>
        <v>3389.9719884228093</v>
      </c>
      <c r="I32" s="62"/>
      <c r="J32" s="63">
        <f t="shared" si="4"/>
        <v>19776.895858213313</v>
      </c>
      <c r="K32" s="60">
        <f t="shared" si="16"/>
        <v>19379.127131890433</v>
      </c>
      <c r="L32" s="64">
        <f t="shared" si="5"/>
        <v>20474.172087255542</v>
      </c>
      <c r="M32" s="65">
        <f t="shared" si="3"/>
        <v>219743.28731348127</v>
      </c>
      <c r="N32" s="65">
        <f t="shared" si="17"/>
        <v>215323.63479878262</v>
      </c>
      <c r="O32" s="65">
        <f t="shared" si="6"/>
        <v>190135.55665369701</v>
      </c>
      <c r="P32" s="36"/>
      <c r="Q32" s="65">
        <f t="shared" si="7"/>
        <v>14.114636224537902</v>
      </c>
      <c r="R32" s="65">
        <f t="shared" si="8"/>
        <v>14.068748642865167</v>
      </c>
      <c r="S32" s="65">
        <f t="shared" si="9"/>
        <v>13.876739985231991</v>
      </c>
      <c r="T32" s="65"/>
      <c r="U32" s="65">
        <f t="shared" si="10"/>
        <v>1.2703172602084114</v>
      </c>
      <c r="V32" s="65">
        <f t="shared" si="11"/>
        <v>1.2664342461319653</v>
      </c>
      <c r="W32" s="79">
        <f t="shared" si="12"/>
        <v>1.2489065986708789</v>
      </c>
      <c r="X32" s="60"/>
      <c r="Y32" s="5"/>
    </row>
    <row r="33" spans="1:25" ht="15.75" x14ac:dyDescent="0.25">
      <c r="A33" s="76">
        <v>2029</v>
      </c>
      <c r="B33" s="100">
        <f t="shared" si="13"/>
        <v>187.2910923259368</v>
      </c>
      <c r="C33" s="101">
        <f t="shared" si="18"/>
        <v>182.59430542446415</v>
      </c>
      <c r="D33" s="101">
        <f xml:space="preserve"> D32* Fig_historico_Kaya!P$39 + D32</f>
        <v>195.58133258608825</v>
      </c>
      <c r="E33" s="36"/>
      <c r="F33" s="61">
        <f t="shared" si="14"/>
        <v>3344.7302050651724</v>
      </c>
      <c r="G33" s="60">
        <f t="shared" si="15"/>
        <v>3260.8528309678964</v>
      </c>
      <c r="H33" s="60">
        <f xml:space="preserve"> H32* Fig_historico_Kaya!P$39 + H32</f>
        <v>3492.7811169426077</v>
      </c>
      <c r="I33" s="62"/>
      <c r="J33" s="63">
        <f t="shared" si="4"/>
        <v>20200.928514399486</v>
      </c>
      <c r="K33" s="60">
        <f t="shared" si="16"/>
        <v>19694.340319169667</v>
      </c>
      <c r="L33" s="64">
        <f t="shared" si="5"/>
        <v>21095.101049690551</v>
      </c>
      <c r="M33" s="65">
        <f t="shared" si="3"/>
        <v>224454.76127110538</v>
      </c>
      <c r="N33" s="65">
        <f t="shared" si="17"/>
        <v>218826.00354632965</v>
      </c>
      <c r="O33" s="65">
        <f t="shared" si="6"/>
        <v>195892.44369719937</v>
      </c>
      <c r="P33" s="36"/>
      <c r="Q33" s="65">
        <f t="shared" si="7"/>
        <v>13.979135716782338</v>
      </c>
      <c r="R33" s="65">
        <f t="shared" si="8"/>
        <v>13.920079082240621</v>
      </c>
      <c r="S33" s="65">
        <f t="shared" si="9"/>
        <v>13.68966869308081</v>
      </c>
      <c r="T33" s="65"/>
      <c r="U33" s="65">
        <f t="shared" si="10"/>
        <v>1.2581222145104105</v>
      </c>
      <c r="V33" s="65">
        <f t="shared" si="11"/>
        <v>1.2531033593305763</v>
      </c>
      <c r="W33" s="79">
        <f t="shared" si="12"/>
        <v>1.2320701823772726</v>
      </c>
      <c r="X33" s="60"/>
    </row>
    <row r="34" spans="1:25" ht="15.75" x14ac:dyDescent="0.25">
      <c r="A34" s="76">
        <v>2030</v>
      </c>
      <c r="B34" s="100">
        <f t="shared" si="13"/>
        <v>191.30676495365057</v>
      </c>
      <c r="C34" s="101">
        <f t="shared" si="18"/>
        <v>185.56431189586857</v>
      </c>
      <c r="D34" s="101">
        <f xml:space="preserve"> D33* Fig_historico_Kaya!P$39 + D33</f>
        <v>201.51281120201384</v>
      </c>
      <c r="E34" s="36"/>
      <c r="F34" s="61">
        <f t="shared" si="14"/>
        <v>3416.4439281513378</v>
      </c>
      <c r="G34" s="60">
        <f t="shared" si="15"/>
        <v>3313.8925683669277</v>
      </c>
      <c r="H34" s="60">
        <f xml:space="preserve"> H33* Fig_historico_Kaya!P$39 + H33</f>
        <v>3598.7081818179563</v>
      </c>
      <c r="I34" s="62"/>
      <c r="J34" s="63">
        <f t="shared" si="4"/>
        <v>20634.052773979889</v>
      </c>
      <c r="K34" s="60">
        <f t="shared" si="16"/>
        <v>20014.680638995102</v>
      </c>
      <c r="L34" s="64">
        <f t="shared" si="5"/>
        <v>21734.861189999203</v>
      </c>
      <c r="M34" s="65">
        <f t="shared" si="3"/>
        <v>229267.25304422097</v>
      </c>
      <c r="N34" s="65">
        <f t="shared" si="17"/>
        <v>222385.34043327888</v>
      </c>
      <c r="O34" s="65">
        <f t="shared" si="6"/>
        <v>201823.92231312496</v>
      </c>
      <c r="P34" s="36"/>
      <c r="Q34" s="65">
        <f t="shared" si="7"/>
        <v>13.844936013901227</v>
      </c>
      <c r="R34" s="65">
        <f t="shared" si="8"/>
        <v>13.771409521616075</v>
      </c>
      <c r="S34" s="65">
        <f t="shared" si="9"/>
        <v>13.502597400929629</v>
      </c>
      <c r="T34" s="65"/>
      <c r="U34" s="65">
        <f t="shared" si="10"/>
        <v>1.2460442412511106</v>
      </c>
      <c r="V34" s="65">
        <f t="shared" si="11"/>
        <v>1.2397724725291872</v>
      </c>
      <c r="W34" s="79">
        <f t="shared" si="12"/>
        <v>1.2152337660836663</v>
      </c>
      <c r="X34" s="60"/>
    </row>
    <row r="35" spans="1:25" ht="15.75" x14ac:dyDescent="0.25">
      <c r="A35" s="76">
        <v>2031</v>
      </c>
      <c r="B35" s="100">
        <f t="shared" si="13"/>
        <v>195.40853685310606</v>
      </c>
      <c r="C35" s="101">
        <f t="shared" si="18"/>
        <v>188.58262731327019</v>
      </c>
      <c r="D35" s="101">
        <f xml:space="preserve"> D34* Fig_historico_Kaya!P$39 + D34</f>
        <v>207.62417630355631</v>
      </c>
      <c r="E35" s="36"/>
      <c r="F35" s="61">
        <f t="shared" si="14"/>
        <v>3489.6952515112389</v>
      </c>
      <c r="G35" s="60">
        <f t="shared" si="15"/>
        <v>3367.7950290746071</v>
      </c>
      <c r="H35" s="60">
        <f xml:space="preserve"> H34* Fig_historico_Kaya!P$39 + H34</f>
        <v>3707.8477420365371</v>
      </c>
      <c r="I35" s="62"/>
      <c r="J35" s="63">
        <f t="shared" si="4"/>
        <v>21076.463568290786</v>
      </c>
      <c r="K35" s="60">
        <f t="shared" si="16"/>
        <v>20340.231487268928</v>
      </c>
      <c r="L35" s="64">
        <f t="shared" si="5"/>
        <v>22394.023609356605</v>
      </c>
      <c r="M35" s="65">
        <f t="shared" si="3"/>
        <v>234182.92853656426</v>
      </c>
      <c r="N35" s="65">
        <f t="shared" si="17"/>
        <v>226002.57208076585</v>
      </c>
      <c r="O35" s="65">
        <f t="shared" si="6"/>
        <v>207935.28741466743</v>
      </c>
      <c r="P35" s="36"/>
      <c r="Q35" s="65">
        <f t="shared" si="7"/>
        <v>13.712024628167775</v>
      </c>
      <c r="R35" s="65">
        <f t="shared" si="8"/>
        <v>13.622739960991529</v>
      </c>
      <c r="S35" s="65">
        <f t="shared" si="9"/>
        <v>13.315526108778448</v>
      </c>
      <c r="T35" s="65"/>
      <c r="U35" s="65">
        <f t="shared" si="10"/>
        <v>1.2340822165350998</v>
      </c>
      <c r="V35" s="65">
        <f t="shared" si="11"/>
        <v>1.2264415857277982</v>
      </c>
      <c r="W35" s="79">
        <f t="shared" si="12"/>
        <v>1.19839734979006</v>
      </c>
      <c r="X35" s="60"/>
    </row>
    <row r="36" spans="1:25" ht="15.75" x14ac:dyDescent="0.25">
      <c r="A36" s="76">
        <v>2032</v>
      </c>
      <c r="B36" s="100">
        <f t="shared" si="13"/>
        <v>199.59825406238494</v>
      </c>
      <c r="C36" s="101">
        <f t="shared" si="18"/>
        <v>191.65003745080352</v>
      </c>
      <c r="D36" s="101">
        <f xml:space="preserve"> D35* Fig_historico_Kaya!P$39 + D35</f>
        <v>213.92088338500355</v>
      </c>
      <c r="E36" s="62"/>
      <c r="F36" s="61">
        <f t="shared" si="14"/>
        <v>3564.5171425393996</v>
      </c>
      <c r="G36" s="60">
        <f t="shared" si="15"/>
        <v>3422.5742458057275</v>
      </c>
      <c r="H36" s="60">
        <f xml:space="preserve"> H35* Fig_historico_Kaya!P$39 + H35</f>
        <v>3820.2972243168415</v>
      </c>
      <c r="I36" s="62"/>
      <c r="J36" s="63">
        <f t="shared" si="4"/>
        <v>21528.360008154046</v>
      </c>
      <c r="K36" s="60">
        <f t="shared" si="16"/>
        <v>20671.077616378047</v>
      </c>
      <c r="L36" s="64">
        <f t="shared" si="5"/>
        <v>23073.176728967159</v>
      </c>
      <c r="M36" s="65">
        <f t="shared" si="3"/>
        <v>239204.00009060052</v>
      </c>
      <c r="N36" s="65">
        <f t="shared" si="17"/>
        <v>229678.64018197829</v>
      </c>
      <c r="O36" s="65">
        <f t="shared" si="6"/>
        <v>214231.99449611467</v>
      </c>
      <c r="P36" s="36"/>
      <c r="Q36" s="65">
        <f t="shared" si="7"/>
        <v>13.580389191737364</v>
      </c>
      <c r="R36" s="65">
        <f t="shared" si="8"/>
        <v>13.474070400366983</v>
      </c>
      <c r="S36" s="65">
        <f t="shared" si="9"/>
        <v>13.128454816627267</v>
      </c>
      <c r="T36" s="65"/>
      <c r="U36" s="65">
        <f t="shared" si="10"/>
        <v>1.2222350272563627</v>
      </c>
      <c r="V36" s="65">
        <f t="shared" si="11"/>
        <v>1.2131106989264091</v>
      </c>
      <c r="W36" s="79">
        <f t="shared" si="12"/>
        <v>1.1815609334964536</v>
      </c>
      <c r="X36" s="66"/>
    </row>
    <row r="37" spans="1:25" ht="15.75" x14ac:dyDescent="0.25">
      <c r="A37" s="76">
        <v>2033</v>
      </c>
      <c r="B37" s="100">
        <f t="shared" si="13"/>
        <v>203.87780220011993</v>
      </c>
      <c r="C37" s="101">
        <f t="shared" si="18"/>
        <v>194.76734086369254</v>
      </c>
      <c r="D37" s="101">
        <f xml:space="preserve"> D36* Fig_historico_Kaya!P$39 + D36</f>
        <v>220.40855339174894</v>
      </c>
      <c r="E37" s="62"/>
      <c r="F37" s="61">
        <f t="shared" si="14"/>
        <v>3640.9432754779732</v>
      </c>
      <c r="G37" s="60">
        <f t="shared" si="15"/>
        <v>3478.2444795256401</v>
      </c>
      <c r="H37" s="60">
        <f xml:space="preserve"> H36* Fig_historico_Kaya!P$39 + H36</f>
        <v>3936.1570100790691</v>
      </c>
      <c r="I37" s="62"/>
      <c r="J37" s="63">
        <f t="shared" si="4"/>
        <v>21989.945473488769</v>
      </c>
      <c r="K37" s="60">
        <f t="shared" si="16"/>
        <v>21007.305157257972</v>
      </c>
      <c r="L37" s="64">
        <f t="shared" si="5"/>
        <v>23772.926815336476</v>
      </c>
      <c r="M37" s="65">
        <f t="shared" si="3"/>
        <v>244332.72748320852</v>
      </c>
      <c r="N37" s="65">
        <f t="shared" si="17"/>
        <v>233414.50174731077</v>
      </c>
      <c r="O37" s="65">
        <f t="shared" si="6"/>
        <v>220719.66450286008</v>
      </c>
      <c r="P37" s="36"/>
      <c r="Q37" s="65">
        <f t="shared" si="7"/>
        <v>13.450017455496685</v>
      </c>
      <c r="R37" s="65">
        <f t="shared" si="8"/>
        <v>13.325400839742437</v>
      </c>
      <c r="S37" s="65">
        <f t="shared" si="9"/>
        <v>12.941383524476086</v>
      </c>
      <c r="T37" s="65"/>
      <c r="U37" s="65">
        <f t="shared" si="10"/>
        <v>1.2105015709947016</v>
      </c>
      <c r="V37" s="65">
        <f t="shared" si="11"/>
        <v>1.1997798121250201</v>
      </c>
      <c r="W37" s="79">
        <f t="shared" si="12"/>
        <v>1.1647245172028473</v>
      </c>
      <c r="X37" s="66"/>
    </row>
    <row r="38" spans="1:25" ht="15.75" x14ac:dyDescent="0.25">
      <c r="A38" s="76">
        <v>2034</v>
      </c>
      <c r="B38" s="100">
        <f t="shared" si="13"/>
        <v>208.2491073141332</v>
      </c>
      <c r="C38" s="101">
        <f t="shared" si="18"/>
        <v>197.93534909614382</v>
      </c>
      <c r="D38" s="101">
        <f xml:space="preserve"> D37* Fig_historico_Kaya!P$39 + D37</f>
        <v>227.09297773799784</v>
      </c>
      <c r="E38" s="62"/>
      <c r="F38" s="61">
        <f t="shared" si="14"/>
        <v>3719.0080465721148</v>
      </c>
      <c r="G38" s="60">
        <f t="shared" si="15"/>
        <v>3534.820223162902</v>
      </c>
      <c r="H38" s="60">
        <f xml:space="preserve"> H37* Fig_historico_Kaya!P$39 + H37</f>
        <v>4055.530525053628</v>
      </c>
      <c r="I38" s="62"/>
      <c r="J38" s="63">
        <f t="shared" si="4"/>
        <v>22461.427704844104</v>
      </c>
      <c r="K38" s="60">
        <f t="shared" si="16"/>
        <v>21349.001641815848</v>
      </c>
      <c r="L38" s="64">
        <f t="shared" si="5"/>
        <v>24493.898521473435</v>
      </c>
      <c r="M38" s="65">
        <f t="shared" si="3"/>
        <v>249571.41894271225</v>
      </c>
      <c r="N38" s="65">
        <f t="shared" si="17"/>
        <v>237211.1293535094</v>
      </c>
      <c r="O38" s="65">
        <f t="shared" si="6"/>
        <v>227404.08884910896</v>
      </c>
      <c r="P38" s="36"/>
      <c r="Q38" s="65">
        <f t="shared" si="7"/>
        <v>13.320897287923916</v>
      </c>
      <c r="R38" s="65">
        <f t="shared" si="8"/>
        <v>13.176731279117892</v>
      </c>
      <c r="S38" s="65">
        <f t="shared" si="9"/>
        <v>12.754312232324905</v>
      </c>
      <c r="T38" s="65"/>
      <c r="U38" s="65">
        <f t="shared" si="10"/>
        <v>1.1988807559131525</v>
      </c>
      <c r="V38" s="65">
        <f t="shared" si="11"/>
        <v>1.186448925323631</v>
      </c>
      <c r="W38" s="79">
        <f t="shared" si="12"/>
        <v>1.147888100909241</v>
      </c>
      <c r="X38" s="66"/>
    </row>
    <row r="39" spans="1:25" ht="15.75" x14ac:dyDescent="0.25">
      <c r="A39" s="76">
        <v>2035</v>
      </c>
      <c r="B39" s="100">
        <f t="shared" si="13"/>
        <v>212.71413674827156</v>
      </c>
      <c r="C39" s="101">
        <f t="shared" si="18"/>
        <v>201.15488689261906</v>
      </c>
      <c r="D39" s="101">
        <f xml:space="preserve"> D38* Fig_historico_Kaya!P$39 + D38</f>
        <v>233.980123476648</v>
      </c>
      <c r="E39" s="62"/>
      <c r="F39" s="61">
        <f t="shared" si="14"/>
        <v>3798.7465895503251</v>
      </c>
      <c r="G39" s="60">
        <f t="shared" si="15"/>
        <v>3592.3162053822789</v>
      </c>
      <c r="H39" s="60">
        <f xml:space="preserve"> H38* Fig_historico_Kaya!P$39 + H38</f>
        <v>4178.5243316072301</v>
      </c>
      <c r="I39" s="62"/>
      <c r="J39" s="63">
        <f t="shared" si="4"/>
        <v>22943.018896894766</v>
      </c>
      <c r="K39" s="60">
        <f t="shared" si="16"/>
        <v>21696.256025717994</v>
      </c>
      <c r="L39" s="64">
        <f t="shared" si="5"/>
        <v>25236.73544450555</v>
      </c>
      <c r="M39" s="65">
        <f t="shared" si="3"/>
        <v>254922.43218771962</v>
      </c>
      <c r="N39" s="65">
        <f t="shared" si="17"/>
        <v>241069.51139686658</v>
      </c>
      <c r="O39" s="65">
        <f t="shared" si="6"/>
        <v>234291.23458775913</v>
      </c>
      <c r="P39" s="36"/>
      <c r="Q39" s="65">
        <f t="shared" si="7"/>
        <v>13.193016673959846</v>
      </c>
      <c r="R39" s="65">
        <f t="shared" si="8"/>
        <v>13.028061718493346</v>
      </c>
      <c r="S39" s="65">
        <f t="shared" si="9"/>
        <v>12.567240940173724</v>
      </c>
      <c r="T39" s="65"/>
      <c r="U39" s="65">
        <f t="shared" si="10"/>
        <v>1.1873715006563861</v>
      </c>
      <c r="V39" s="65">
        <f t="shared" si="11"/>
        <v>1.1731180385222419</v>
      </c>
      <c r="W39" s="79">
        <f t="shared" si="12"/>
        <v>1.1310516846156347</v>
      </c>
      <c r="X39" s="66"/>
    </row>
    <row r="40" spans="1:25" ht="15.75" x14ac:dyDescent="0.25">
      <c r="A40" s="76">
        <v>2036</v>
      </c>
      <c r="B40" s="100">
        <f t="shared" si="13"/>
        <v>217.27490002782616</v>
      </c>
      <c r="C40" s="101">
        <f t="shared" si="18"/>
        <v>204.42679241254692</v>
      </c>
      <c r="D40" s="101">
        <f xml:space="preserve"> D39* Fig_historico_Kaya!P$39 + D39</f>
        <v>241.07613862595926</v>
      </c>
      <c r="E40" s="62"/>
      <c r="F40" s="61">
        <f t="shared" si="14"/>
        <v>3880.1947914366774</v>
      </c>
      <c r="G40" s="60">
        <f t="shared" si="15"/>
        <v>3650.7473944191674</v>
      </c>
      <c r="H40" s="60">
        <f xml:space="preserve"> H39* Fig_historico_Kaya!P$39 + H39</f>
        <v>4305.2482238690009</v>
      </c>
      <c r="I40" s="62"/>
      <c r="J40" s="63">
        <f t="shared" si="4"/>
        <v>23434.935793941033</v>
      </c>
      <c r="K40" s="60">
        <f t="shared" si="16"/>
        <v>22049.158711548389</v>
      </c>
      <c r="L40" s="64">
        <f t="shared" si="5"/>
        <v>26002.100700205337</v>
      </c>
      <c r="M40" s="65">
        <f t="shared" si="3"/>
        <v>260388.17548823368</v>
      </c>
      <c r="N40" s="65">
        <f t="shared" si="17"/>
        <v>244990.65235053768</v>
      </c>
      <c r="O40" s="65">
        <f t="shared" si="6"/>
        <v>241387.24973707038</v>
      </c>
      <c r="P40" s="36"/>
      <c r="Q40" s="65">
        <f t="shared" si="7"/>
        <v>13.066363713889832</v>
      </c>
      <c r="R40" s="65">
        <f t="shared" si="8"/>
        <v>12.8793921578688</v>
      </c>
      <c r="S40" s="65">
        <f t="shared" si="9"/>
        <v>12.380169648022543</v>
      </c>
      <c r="T40" s="80"/>
      <c r="U40" s="65">
        <f t="shared" si="10"/>
        <v>1.1759727342500848</v>
      </c>
      <c r="V40" s="65">
        <f t="shared" si="11"/>
        <v>1.1597871517208529</v>
      </c>
      <c r="W40" s="79">
        <f t="shared" si="12"/>
        <v>1.1142152683220283</v>
      </c>
      <c r="X40" s="66"/>
      <c r="Y40" s="8"/>
    </row>
    <row r="41" spans="1:25" ht="15.75" x14ac:dyDescent="0.25">
      <c r="A41" s="76">
        <v>2037</v>
      </c>
      <c r="B41" s="100">
        <f t="shared" si="13"/>
        <v>221.93344976393746</v>
      </c>
      <c r="C41" s="101">
        <f t="shared" si="18"/>
        <v>207.7519174485239</v>
      </c>
      <c r="D41" s="101">
        <f xml:space="preserve"> D40* Fig_historico_Kaya!P$39 + D40</f>
        <v>248.3873576577673</v>
      </c>
      <c r="E41" s="62"/>
      <c r="F41" s="61">
        <f t="shared" si="14"/>
        <v>3963.3893087020992</v>
      </c>
      <c r="G41" s="60">
        <f t="shared" si="15"/>
        <v>3710.1290019763278</v>
      </c>
      <c r="H41" s="60">
        <f xml:space="preserve"> H40* Fig_historico_Kaya!P$39 + H40</f>
        <v>4435.8153257415188</v>
      </c>
      <c r="I41" s="62"/>
      <c r="J41" s="63">
        <f t="shared" si="4"/>
        <v>23937.39978745647</v>
      </c>
      <c r="K41" s="60">
        <f t="shared" si="16"/>
        <v>22407.80157234348</v>
      </c>
      <c r="L41" s="64">
        <f t="shared" si="5"/>
        <v>26790.677514940573</v>
      </c>
      <c r="M41" s="65">
        <f t="shared" si="3"/>
        <v>265971.10874951631</v>
      </c>
      <c r="N41" s="65">
        <f t="shared" si="17"/>
        <v>248975.57302603865</v>
      </c>
      <c r="O41" s="65">
        <f>C28*(1+0.9*Fig_historico_Kaya!P39)</f>
        <v>173.03985306055847</v>
      </c>
      <c r="P41" s="36"/>
      <c r="Q41" s="65">
        <f t="shared" si="7"/>
        <v>12.940926622236489</v>
      </c>
      <c r="R41" s="65">
        <f t="shared" si="8"/>
        <v>12.730722597244254</v>
      </c>
      <c r="S41" s="65">
        <f t="shared" si="9"/>
        <v>12.193098355871362</v>
      </c>
      <c r="T41" s="65"/>
      <c r="U41" s="65">
        <f t="shared" si="10"/>
        <v>1.1646833960012839</v>
      </c>
      <c r="V41" s="65">
        <f t="shared" si="11"/>
        <v>1.1464562649194638</v>
      </c>
      <c r="W41" s="79">
        <f t="shared" si="12"/>
        <v>1.097378852028422</v>
      </c>
      <c r="X41" s="66"/>
    </row>
    <row r="42" spans="1:25" ht="15.75" x14ac:dyDescent="0.25">
      <c r="A42" s="76">
        <v>2038</v>
      </c>
      <c r="B42" s="100">
        <f t="shared" si="13"/>
        <v>226.69188257739034</v>
      </c>
      <c r="C42" s="101">
        <f t="shared" si="18"/>
        <v>211.13112764806655</v>
      </c>
      <c r="D42" s="101">
        <f xml:space="preserve"> D41* Fig_historico_Kaya!P$39 + D41</f>
        <v>255.92030715214099</v>
      </c>
      <c r="E42" s="62"/>
      <c r="F42" s="61">
        <f t="shared" si="14"/>
        <v>4048.3675837619271</v>
      </c>
      <c r="G42" s="60">
        <f t="shared" si="15"/>
        <v>3770.4764871840339</v>
      </c>
      <c r="H42" s="60">
        <f xml:space="preserve"> H41* Fig_historico_Kaya!P$39 + H41</f>
        <v>4570.342191884276</v>
      </c>
      <c r="I42" s="62"/>
      <c r="J42" s="63">
        <f t="shared" si="4"/>
        <v>24450.637015727058</v>
      </c>
      <c r="K42" s="60">
        <f t="shared" si="16"/>
        <v>22772.277975510024</v>
      </c>
      <c r="L42" s="64">
        <f t="shared" si="5"/>
        <v>27603.169835576966</v>
      </c>
      <c r="M42" s="65">
        <f t="shared" si="3"/>
        <v>271673.74461918953</v>
      </c>
      <c r="N42" s="65">
        <f t="shared" si="17"/>
        <v>253025.31083900027</v>
      </c>
      <c r="O42" s="65">
        <f t="shared" si="6"/>
        <v>256231.41826325213</v>
      </c>
      <c r="P42" s="36"/>
      <c r="Q42" s="65">
        <f t="shared" si="7"/>
        <v>12.816693726663019</v>
      </c>
      <c r="R42" s="65">
        <f t="shared" si="8"/>
        <v>12.582053036619708</v>
      </c>
      <c r="S42" s="65">
        <f t="shared" si="9"/>
        <v>12.006027063720181</v>
      </c>
      <c r="T42" s="65"/>
      <c r="U42" s="65">
        <f t="shared" si="10"/>
        <v>1.1535024353996715</v>
      </c>
      <c r="V42" s="65">
        <f t="shared" si="11"/>
        <v>1.1331253781180748</v>
      </c>
      <c r="W42" s="79">
        <f t="shared" si="12"/>
        <v>1.0805424357348157</v>
      </c>
      <c r="X42" s="66"/>
    </row>
    <row r="43" spans="1:25" ht="15.75" x14ac:dyDescent="0.25">
      <c r="A43" s="76">
        <v>2039</v>
      </c>
      <c r="B43" s="100">
        <f t="shared" si="13"/>
        <v>231.55234004221592</v>
      </c>
      <c r="C43" s="101">
        <f t="shared" si="18"/>
        <v>214.56530273897084</v>
      </c>
      <c r="D43" s="101">
        <f xml:space="preserve"> D42* Fig_historico_Kaya!P$39 + D42</f>
        <v>263.68171162353076</v>
      </c>
      <c r="E43" s="62"/>
      <c r="F43" s="61">
        <f t="shared" si="14"/>
        <v>4135.1678618271817</v>
      </c>
      <c r="G43" s="60">
        <f t="shared" si="15"/>
        <v>3831.8055606246467</v>
      </c>
      <c r="H43" s="60">
        <f xml:space="preserve"> H42* Fig_historico_Kaya!P$39 + H42</f>
        <v>4708.9489117597104</v>
      </c>
      <c r="I43" s="62"/>
      <c r="J43" s="63">
        <f t="shared" si="4"/>
        <v>24974.878465626614</v>
      </c>
      <c r="K43" s="60">
        <f t="shared" si="16"/>
        <v>23142.682807132023</v>
      </c>
      <c r="L43" s="64">
        <f t="shared" si="5"/>
        <v>28440.302957877484</v>
      </c>
      <c r="M43" s="65">
        <f t="shared" si="3"/>
        <v>277498.64961807348</v>
      </c>
      <c r="N43" s="65">
        <f t="shared" si="17"/>
        <v>257140.92007924471</v>
      </c>
      <c r="O43" s="65">
        <f t="shared" si="6"/>
        <v>263992.8227346419</v>
      </c>
      <c r="P43" s="36"/>
      <c r="Q43" s="65">
        <f t="shared" si="7"/>
        <v>12.693653466887053</v>
      </c>
      <c r="R43" s="65">
        <f t="shared" si="8"/>
        <v>12.433383475995162</v>
      </c>
      <c r="S43" s="65">
        <f t="shared" si="9"/>
        <v>11.818955771569</v>
      </c>
      <c r="T43" s="65"/>
      <c r="U43" s="65">
        <f t="shared" si="10"/>
        <v>1.1424288120198345</v>
      </c>
      <c r="V43" s="65">
        <f t="shared" si="11"/>
        <v>1.1197944913166857</v>
      </c>
      <c r="W43" s="79">
        <f t="shared" si="12"/>
        <v>1.0637060194412093</v>
      </c>
      <c r="X43" s="66"/>
    </row>
    <row r="44" spans="1:25" ht="15.75" x14ac:dyDescent="0.25">
      <c r="A44" s="76">
        <v>2040</v>
      </c>
      <c r="B44" s="100">
        <f t="shared" si="13"/>
        <v>236.51700964952664</v>
      </c>
      <c r="C44" s="101">
        <f t="shared" si="18"/>
        <v>218.05533675833522</v>
      </c>
      <c r="D44" s="101">
        <f xml:space="preserve"> D43* Fig_historico_Kaya!P$39 + D43</f>
        <v>271.6784995236091</v>
      </c>
      <c r="E44" s="62"/>
      <c r="F44" s="61">
        <f t="shared" si="14"/>
        <v>4223.8292081171767</v>
      </c>
      <c r="G44" s="60">
        <f t="shared" si="15"/>
        <v>3894.1321884226122</v>
      </c>
      <c r="H44" s="60">
        <f xml:space="preserve"> H43* Fig_historico_Kaya!P$39 + H43</f>
        <v>4851.7592168346819</v>
      </c>
      <c r="I44" s="62"/>
      <c r="J44" s="63">
        <f t="shared" si="4"/>
        <v>25510.36007657458</v>
      </c>
      <c r="K44" s="60">
        <f t="shared" si="16"/>
        <v>23519.112496672784</v>
      </c>
      <c r="L44" s="64">
        <f t="shared" si="5"/>
        <v>29302.824173959503</v>
      </c>
      <c r="M44" s="65">
        <f t="shared" si="3"/>
        <v>283448.44529527304</v>
      </c>
      <c r="N44" s="65">
        <f t="shared" si="17"/>
        <v>261323.47218525311</v>
      </c>
      <c r="O44" s="65">
        <f t="shared" si="6"/>
        <v>271989.61063472024</v>
      </c>
      <c r="P44" s="36"/>
      <c r="Q44" s="65">
        <f t="shared" si="7"/>
        <v>12.571794393604936</v>
      </c>
      <c r="R44" s="65">
        <f t="shared" si="8"/>
        <v>12.284713915370617</v>
      </c>
      <c r="S44" s="65">
        <f t="shared" si="9"/>
        <v>11.631884479417819</v>
      </c>
      <c r="T44" s="65"/>
      <c r="U44" s="65">
        <f t="shared" si="10"/>
        <v>1.131461495424444</v>
      </c>
      <c r="V44" s="65">
        <f t="shared" si="11"/>
        <v>1.1064636045152967</v>
      </c>
      <c r="W44" s="79">
        <f t="shared" si="12"/>
        <v>1.046869603147603</v>
      </c>
      <c r="X44" s="60"/>
    </row>
    <row r="45" spans="1:25" ht="15.75" x14ac:dyDescent="0.25">
      <c r="A45" s="76">
        <v>2041</v>
      </c>
      <c r="B45" s="100">
        <f t="shared" si="13"/>
        <v>241.58812579201489</v>
      </c>
      <c r="C45" s="101">
        <f t="shared" si="18"/>
        <v>221.60213828531076</v>
      </c>
      <c r="D45" s="101">
        <f xml:space="preserve"> D44* Fig_historico_Kaya!P$39 + D44</f>
        <v>279.91780942616191</v>
      </c>
      <c r="E45" s="62"/>
      <c r="F45" s="61">
        <f t="shared" si="14"/>
        <v>4314.391525441144</v>
      </c>
      <c r="G45" s="60">
        <f t="shared" si="15"/>
        <v>3957.472596401019</v>
      </c>
      <c r="H45" s="60">
        <f xml:space="preserve"> H44* Fig_historico_Kaya!P$39 + H44</f>
        <v>4998.9005910330998</v>
      </c>
      <c r="I45" s="62"/>
      <c r="J45" s="63">
        <f t="shared" si="4"/>
        <v>26057.322846722484</v>
      </c>
      <c r="K45" s="60">
        <f t="shared" si="16"/>
        <v>23901.665042078988</v>
      </c>
      <c r="L45" s="64">
        <f t="shared" si="5"/>
        <v>30191.503439387674</v>
      </c>
      <c r="M45" s="65">
        <f t="shared" si="3"/>
        <v>289525.80940802756</v>
      </c>
      <c r="N45" s="65">
        <f t="shared" si="17"/>
        <v>265574.05602309987</v>
      </c>
      <c r="O45" s="65">
        <f t="shared" si="6"/>
        <v>280228.92053727305</v>
      </c>
      <c r="P45" s="36"/>
      <c r="Q45" s="65">
        <f t="shared" si="7"/>
        <v>12.451105167426327</v>
      </c>
      <c r="R45" s="65">
        <f t="shared" si="8"/>
        <v>12.136044354746071</v>
      </c>
      <c r="S45" s="65">
        <f t="shared" si="9"/>
        <v>11.444813187266638</v>
      </c>
      <c r="T45" s="65"/>
      <c r="U45" s="65">
        <f t="shared" si="10"/>
        <v>1.1205994650683693</v>
      </c>
      <c r="V45" s="65">
        <f t="shared" si="11"/>
        <v>1.0931327177139076</v>
      </c>
      <c r="W45" s="79">
        <f t="shared" si="12"/>
        <v>1.0300331868539967</v>
      </c>
      <c r="X45" s="60"/>
    </row>
    <row r="46" spans="1:25" ht="15.75" x14ac:dyDescent="0.25">
      <c r="A46" s="76">
        <v>2042</v>
      </c>
      <c r="B46" s="100">
        <f t="shared" si="13"/>
        <v>246.76797076956146</v>
      </c>
      <c r="C46" s="101">
        <f t="shared" si="18"/>
        <v>225.20663067763596</v>
      </c>
      <c r="D46" s="101">
        <f xml:space="preserve"> D45* Fig_historico_Kaya!P$39 + D45</f>
        <v>288.40699639955159</v>
      </c>
      <c r="E46" s="62"/>
      <c r="F46" s="61">
        <f t="shared" si="14"/>
        <v>4406.8955721568564</v>
      </c>
      <c r="G46" s="60">
        <f t="shared" si="15"/>
        <v>4021.8432743057483</v>
      </c>
      <c r="H46" s="60">
        <f xml:space="preserve"> H45* Fig_historico_Kaya!P$39 + H45</f>
        <v>5150.5043845382861</v>
      </c>
      <c r="I46" s="62"/>
      <c r="J46" s="63">
        <f t="shared" si="4"/>
        <v>26616.012941417386</v>
      </c>
      <c r="K46" s="60">
        <f t="shared" si="16"/>
        <v>24290.440035292988</v>
      </c>
      <c r="L46" s="64">
        <f t="shared" si="5"/>
        <v>31107.13406049793</v>
      </c>
      <c r="M46" s="65">
        <f t="shared" si="3"/>
        <v>295733.47712685983</v>
      </c>
      <c r="N46" s="65">
        <f t="shared" si="17"/>
        <v>269893.77816992206</v>
      </c>
      <c r="O46" s="65">
        <f t="shared" si="6"/>
        <v>288718.1075106627</v>
      </c>
      <c r="P46" s="36"/>
      <c r="Q46" s="65">
        <f t="shared" si="7"/>
        <v>12.331574557819033</v>
      </c>
      <c r="R46" s="65">
        <f t="shared" si="8"/>
        <v>11.987374794121525</v>
      </c>
      <c r="S46" s="65">
        <f t="shared" si="9"/>
        <v>11.257741895115457</v>
      </c>
      <c r="T46" s="65"/>
      <c r="U46" s="65">
        <f t="shared" si="10"/>
        <v>1.1098417102037128</v>
      </c>
      <c r="V46" s="65">
        <f t="shared" si="11"/>
        <v>1.0798018309125186</v>
      </c>
      <c r="W46" s="79">
        <f t="shared" si="12"/>
        <v>1.0131967705603904</v>
      </c>
      <c r="X46" s="60"/>
    </row>
    <row r="47" spans="1:25" ht="15.75" x14ac:dyDescent="0.25">
      <c r="A47" s="76">
        <v>2043</v>
      </c>
      <c r="B47" s="100">
        <f t="shared" si="13"/>
        <v>252.0588758164032</v>
      </c>
      <c r="C47" s="101">
        <f xml:space="preserve"> ($C$28/($B$94^(C$57)))*B113^(C$57)</f>
        <v>228.86975231202044</v>
      </c>
      <c r="D47" s="101">
        <f xml:space="preserve"> D46* Fig_historico_Kaya!P$39 + D46</f>
        <v>297.15363857244034</v>
      </c>
      <c r="E47" s="62"/>
      <c r="F47" s="61">
        <f t="shared" si="14"/>
        <v>4501.3829805142504</v>
      </c>
      <c r="G47" s="60">
        <f t="shared" si="15"/>
        <v>4087.2609800983519</v>
      </c>
      <c r="H47" s="60">
        <f xml:space="preserve"> H46* Fig_historico_Kaya!P$39 + H46</f>
        <v>5306.7059310466811</v>
      </c>
      <c r="I47" s="62"/>
      <c r="J47" s="63">
        <f t="shared" si="4"/>
        <v>27186.681803990541</v>
      </c>
      <c r="K47" s="60">
        <f t="shared" si="16"/>
        <v>24685.53868818019</v>
      </c>
      <c r="L47" s="64">
        <f t="shared" si="5"/>
        <v>32050.533402566318</v>
      </c>
      <c r="M47" s="65">
        <f t="shared" si="3"/>
        <v>302074.24226656154</v>
      </c>
      <c r="N47" s="65">
        <f t="shared" si="17"/>
        <v>274283.7632020021</v>
      </c>
      <c r="O47" s="65">
        <f t="shared" si="6"/>
        <v>297464.74968355149</v>
      </c>
      <c r="P47" s="36"/>
      <c r="Q47" s="65">
        <f t="shared" si="7"/>
        <v>12.21319144206397</v>
      </c>
      <c r="R47" s="65">
        <f t="shared" si="8"/>
        <v>11.838705233496979</v>
      </c>
      <c r="S47" s="65">
        <f t="shared" si="9"/>
        <v>11.070670602964276</v>
      </c>
      <c r="T47" s="65"/>
      <c r="U47" s="65">
        <f t="shared" si="10"/>
        <v>1.099187229785757</v>
      </c>
      <c r="V47" s="65">
        <f t="shared" si="11"/>
        <v>1.0664709441111295</v>
      </c>
      <c r="W47" s="79">
        <f t="shared" si="12"/>
        <v>0.99636035426678415</v>
      </c>
      <c r="X47" s="60"/>
    </row>
    <row r="48" spans="1:25" ht="15.75" x14ac:dyDescent="0.25">
      <c r="A48" s="76">
        <v>2044</v>
      </c>
      <c r="B48" s="100">
        <f t="shared" si="13"/>
        <v>257.46322215032734</v>
      </c>
      <c r="C48" s="101">
        <f t="shared" si="18"/>
        <v>232.59245682843624</v>
      </c>
      <c r="D48" s="101">
        <f xml:space="preserve"> D47* Fig_historico_Kaya!P$39 + D47</f>
        <v>306.16554389863546</v>
      </c>
      <c r="E48" s="62"/>
      <c r="F48" s="61">
        <f t="shared" si="14"/>
        <v>4597.8962753924288</v>
      </c>
      <c r="G48" s="60">
        <f t="shared" si="15"/>
        <v>4153.7427443187216</v>
      </c>
      <c r="H48" s="60">
        <f xml:space="preserve"> H47* Fig_historico_Kaya!P$39 + H47</f>
        <v>5467.6446685775436</v>
      </c>
      <c r="I48" s="62"/>
      <c r="J48" s="63">
        <f t="shared" si="4"/>
        <v>27769.586268921888</v>
      </c>
      <c r="K48" s="60">
        <f t="shared" si="16"/>
        <v>25087.06385887798</v>
      </c>
      <c r="L48" s="64">
        <f t="shared" si="5"/>
        <v>33022.543619454736</v>
      </c>
      <c r="M48" s="65">
        <f t="shared" si="3"/>
        <v>308550.95854357653</v>
      </c>
      <c r="N48" s="65">
        <f t="shared" si="17"/>
        <v>278745.15398753312</v>
      </c>
      <c r="O48" s="65">
        <f t="shared" si="6"/>
        <v>306476.65500974661</v>
      </c>
      <c r="P48" s="36"/>
      <c r="Q48" s="65">
        <f t="shared" si="7"/>
        <v>12.095944804220155</v>
      </c>
      <c r="R48" s="65">
        <f t="shared" si="8"/>
        <v>11.690035672872433</v>
      </c>
      <c r="S48" s="65">
        <f t="shared" si="9"/>
        <v>10.883599310813095</v>
      </c>
      <c r="T48" s="65"/>
      <c r="U48" s="65">
        <f t="shared" si="10"/>
        <v>1.0886350323798137</v>
      </c>
      <c r="V48" s="65">
        <f t="shared" si="11"/>
        <v>1.0531400573097405</v>
      </c>
      <c r="W48" s="79">
        <f t="shared" si="12"/>
        <v>0.97952393797317794</v>
      </c>
      <c r="X48" s="60"/>
    </row>
    <row r="49" spans="1:37" ht="15.75" x14ac:dyDescent="0.25">
      <c r="A49" s="76">
        <v>2045</v>
      </c>
      <c r="B49" s="100">
        <f t="shared" si="13"/>
        <v>262.98344204435637</v>
      </c>
      <c r="C49" s="101">
        <f t="shared" si="18"/>
        <v>236.37571337838426</v>
      </c>
      <c r="D49" s="101">
        <f xml:space="preserve"> D48* Fig_historico_Kaya!P$39 + D48</f>
        <v>315.45075712709445</v>
      </c>
      <c r="E49" s="62"/>
      <c r="F49" s="61">
        <f t="shared" si="14"/>
        <v>4696.4788934382932</v>
      </c>
      <c r="G49" s="60">
        <f t="shared" si="15"/>
        <v>4221.3058745187445</v>
      </c>
      <c r="H49" s="60">
        <f xml:space="preserve"> H48* Fig_historico_Kaya!P$39 + H48</f>
        <v>5633.4642639465037</v>
      </c>
      <c r="I49" s="62"/>
      <c r="J49" s="63">
        <f t="shared" si="4"/>
        <v>28364.988677430367</v>
      </c>
      <c r="K49" s="60">
        <f t="shared" si="16"/>
        <v>25495.120078573327</v>
      </c>
      <c r="L49" s="64">
        <f t="shared" si="5"/>
        <v>34024.032405385005</v>
      </c>
      <c r="M49" s="65">
        <f t="shared" si="3"/>
        <v>315166.54086033744</v>
      </c>
      <c r="N49" s="65">
        <f t="shared" si="17"/>
        <v>283279.1119841481</v>
      </c>
      <c r="O49" s="65">
        <f t="shared" si="6"/>
        <v>315761.86823820556</v>
      </c>
      <c r="P49" s="36"/>
      <c r="Q49" s="65">
        <f t="shared" si="7"/>
        <v>11.979823734099641</v>
      </c>
      <c r="R49" s="65">
        <f t="shared" si="8"/>
        <v>11.541366112247887</v>
      </c>
      <c r="S49" s="65">
        <f t="shared" si="9"/>
        <v>10.696528018661914</v>
      </c>
      <c r="T49" s="65"/>
      <c r="U49" s="65">
        <f t="shared" si="10"/>
        <v>1.0781841360689675</v>
      </c>
      <c r="V49" s="65">
        <f t="shared" si="11"/>
        <v>1.0398091705083514</v>
      </c>
      <c r="W49" s="79">
        <f t="shared" si="12"/>
        <v>0.96268752167957172</v>
      </c>
      <c r="X49" s="60"/>
    </row>
    <row r="50" spans="1:37" ht="15.75" x14ac:dyDescent="0.25">
      <c r="A50" s="76">
        <v>2046</v>
      </c>
      <c r="B50" s="100">
        <f t="shared" si="13"/>
        <v>268.62201992141661</v>
      </c>
      <c r="C50" s="101">
        <f t="shared" si="18"/>
        <v>240.22050687719911</v>
      </c>
      <c r="D50" s="101">
        <f xml:space="preserve"> D49* Fig_historico_Kaya!P$39 + D49</f>
        <v>325.01756698331275</v>
      </c>
      <c r="E50" s="62"/>
      <c r="F50" s="61">
        <f t="shared" si="14"/>
        <v>4797.175202615641</v>
      </c>
      <c r="G50" s="60">
        <f t="shared" si="15"/>
        <v>4289.9679597680779</v>
      </c>
      <c r="H50" s="60">
        <f xml:space="preserve"> H49* Fig_historico_Kaya!P$39 + H49</f>
        <v>5804.3127410140769</v>
      </c>
      <c r="I50" s="62"/>
      <c r="J50" s="63">
        <f t="shared" si="4"/>
        <v>28973.156995543133</v>
      </c>
      <c r="K50" s="60">
        <f t="shared" si="16"/>
        <v>25909.813578715995</v>
      </c>
      <c r="L50" s="64">
        <f t="shared" si="5"/>
        <v>35055.893769512229</v>
      </c>
      <c r="M50" s="65">
        <f t="shared" si="3"/>
        <v>321923.96661714592</v>
      </c>
      <c r="N50" s="65">
        <f t="shared" si="17"/>
        <v>287886.81754128885</v>
      </c>
      <c r="O50" s="65">
        <f t="shared" si="6"/>
        <v>325328.6780944239</v>
      </c>
      <c r="P50" s="36"/>
      <c r="Q50" s="65">
        <f t="shared" si="7"/>
        <v>11.864817426252284</v>
      </c>
      <c r="R50" s="65">
        <f t="shared" si="8"/>
        <v>11.392696551623342</v>
      </c>
      <c r="S50" s="65">
        <f t="shared" si="9"/>
        <v>10.509456726510733</v>
      </c>
      <c r="T50" s="65"/>
      <c r="U50" s="65">
        <f t="shared" si="10"/>
        <v>1.0678335683627054</v>
      </c>
      <c r="V50" s="65">
        <f t="shared" si="11"/>
        <v>1.0264782837069624</v>
      </c>
      <c r="W50" s="79">
        <f t="shared" si="12"/>
        <v>0.94585110538596551</v>
      </c>
      <c r="X50" s="60"/>
    </row>
    <row r="51" spans="1:37" ht="15.75" x14ac:dyDescent="0.25">
      <c r="A51" s="76">
        <v>2047</v>
      </c>
      <c r="B51" s="100">
        <f t="shared" si="13"/>
        <v>274.38149347247258</v>
      </c>
      <c r="C51" s="101">
        <f t="shared" si="18"/>
        <v>244.12783826045776</v>
      </c>
      <c r="D51" s="101">
        <f xml:space="preserve"> D50* Fig_historico_Kaya!P$39 + D50</f>
        <v>334.87451356850443</v>
      </c>
      <c r="E51" s="62"/>
      <c r="F51" s="61">
        <f t="shared" si="14"/>
        <v>4900.0305221733197</v>
      </c>
      <c r="G51" s="60">
        <f t="shared" si="15"/>
        <v>4359.7468752332134</v>
      </c>
      <c r="H51" s="60">
        <f xml:space="preserve"> H50* Fig_historico_Kaya!P$39 + H50</f>
        <v>5980.3426128236233</v>
      </c>
      <c r="I51" s="62"/>
      <c r="J51" s="63">
        <f t="shared" si="4"/>
        <v>29594.364934695848</v>
      </c>
      <c r="K51" s="60">
        <f t="shared" si="16"/>
        <v>26331.252318674411</v>
      </c>
      <c r="L51" s="64">
        <f t="shared" si="5"/>
        <v>36119.048833989022</v>
      </c>
      <c r="M51" s="65">
        <f t="shared" si="3"/>
        <v>328826.27705217613</v>
      </c>
      <c r="N51" s="65">
        <f t="shared" si="17"/>
        <v>292569.47020749346</v>
      </c>
      <c r="O51" s="65">
        <f t="shared" si="6"/>
        <v>335185.62467961555</v>
      </c>
      <c r="P51" s="36"/>
      <c r="Q51" s="65">
        <f t="shared" si="7"/>
        <v>11.750915178960261</v>
      </c>
      <c r="R51" s="65">
        <f t="shared" si="8"/>
        <v>11.244026990998796</v>
      </c>
      <c r="S51" s="65">
        <f t="shared" si="9"/>
        <v>10.322385434359552</v>
      </c>
      <c r="T51" s="65"/>
      <c r="U51" s="65">
        <f t="shared" si="10"/>
        <v>1.0575823661064234</v>
      </c>
      <c r="V51" s="65">
        <f t="shared" si="11"/>
        <v>1.0131473969055733</v>
      </c>
      <c r="W51" s="79">
        <f t="shared" si="12"/>
        <v>0.92901468909235929</v>
      </c>
      <c r="X51" s="60"/>
    </row>
    <row r="52" spans="1:37" ht="15.75" x14ac:dyDescent="0.25">
      <c r="A52" s="76">
        <v>2048</v>
      </c>
      <c r="B52" s="100">
        <f t="shared" si="13"/>
        <v>280.26445479863759</v>
      </c>
      <c r="C52" s="101">
        <f t="shared" si="18"/>
        <v>248.09872474455722</v>
      </c>
      <c r="D52" s="101">
        <f xml:space="preserve"> D51* Fig_historico_Kaya!P$39 + D51</f>
        <v>345.03039598318099</v>
      </c>
      <c r="E52" s="62"/>
      <c r="F52" s="61">
        <f t="shared" si="14"/>
        <v>5005.0911430415626</v>
      </c>
      <c r="G52" s="60">
        <f t="shared" si="15"/>
        <v>4430.6607868309893</v>
      </c>
      <c r="H52" s="60">
        <f xml:space="preserve"> H51* Fig_historico_Kaya!P$39 + H51</f>
        <v>6161.7110177467166</v>
      </c>
      <c r="I52" s="62"/>
      <c r="J52" s="63">
        <f t="shared" si="4"/>
        <v>30228.892074918946</v>
      </c>
      <c r="K52" s="60">
        <f t="shared" si="16"/>
        <v>26759.546013841136</v>
      </c>
      <c r="L52" s="64">
        <f t="shared" si="5"/>
        <v>37214.446656233005</v>
      </c>
      <c r="M52" s="65">
        <f t="shared" si="3"/>
        <v>335876.5786102105</v>
      </c>
      <c r="N52" s="65">
        <f t="shared" si="17"/>
        <v>297328.28904267936</v>
      </c>
      <c r="O52" s="65">
        <f t="shared" si="6"/>
        <v>345341.50709429214</v>
      </c>
      <c r="P52" s="36"/>
      <c r="Q52" s="65">
        <f t="shared" si="7"/>
        <v>11.638106393242241</v>
      </c>
      <c r="R52" s="65">
        <f t="shared" si="8"/>
        <v>11.09535743037425</v>
      </c>
      <c r="S52" s="65">
        <f t="shared" si="9"/>
        <v>10.135314142208371</v>
      </c>
      <c r="T52" s="65"/>
      <c r="U52" s="65">
        <f t="shared" si="10"/>
        <v>1.0474295753918017</v>
      </c>
      <c r="V52" s="65">
        <f t="shared" si="11"/>
        <v>0.99981651010418426</v>
      </c>
      <c r="W52" s="79">
        <f t="shared" si="12"/>
        <v>0.91217827279875308</v>
      </c>
      <c r="X52" s="60"/>
    </row>
    <row r="53" spans="1:37" ht="15.75" x14ac:dyDescent="0.25">
      <c r="A53" s="76">
        <v>2049</v>
      </c>
      <c r="B53" s="100">
        <f xml:space="preserve"> ($B$28/($B$94^(B$57)))*B119^(B$57)</f>
        <v>286.27355157777021</v>
      </c>
      <c r="C53" s="101">
        <f t="shared" si="18"/>
        <v>252.13420009153256</v>
      </c>
      <c r="D53" s="101">
        <f xml:space="preserve"> D52* Fig_historico_Kaya!P$39 + D52</f>
        <v>355.49428018193373</v>
      </c>
      <c r="E53" s="62"/>
      <c r="F53" s="61">
        <f t="shared" si="14"/>
        <v>5112.4043486656046</v>
      </c>
      <c r="G53" s="60">
        <f t="shared" si="15"/>
        <v>4502.7281559578396</v>
      </c>
      <c r="H53" s="60">
        <f xml:space="preserve"> H52* Fig_historico_Kaya!P$39 + H52</f>
        <v>6348.5798597574467</v>
      </c>
      <c r="I53" s="62"/>
      <c r="J53" s="63">
        <f t="shared" si="4"/>
        <v>30877.023990664922</v>
      </c>
      <c r="K53" s="60">
        <f t="shared" si="16"/>
        <v>27194.806164195772</v>
      </c>
      <c r="L53" s="64">
        <f t="shared" si="5"/>
        <v>38343.065076131483</v>
      </c>
      <c r="M53" s="65">
        <f t="shared" si="3"/>
        <v>343078.04434072139</v>
      </c>
      <c r="N53" s="65">
        <f t="shared" si="17"/>
        <v>302164.51293550857</v>
      </c>
      <c r="O53" s="65">
        <f t="shared" si="6"/>
        <v>355805.39129304484</v>
      </c>
      <c r="P53" s="36"/>
      <c r="Q53" s="65">
        <f t="shared" si="7"/>
        <v>11.526380571867115</v>
      </c>
      <c r="R53" s="65">
        <f t="shared" si="8"/>
        <v>10.946687869749704</v>
      </c>
      <c r="S53" s="65">
        <f t="shared" si="9"/>
        <v>9.9482428500571896</v>
      </c>
      <c r="T53" s="65"/>
      <c r="U53" s="65">
        <f t="shared" si="10"/>
        <v>1.0373742514680404</v>
      </c>
      <c r="V53" s="65">
        <f t="shared" si="11"/>
        <v>0.98648562330279521</v>
      </c>
      <c r="W53" s="79">
        <f t="shared" si="12"/>
        <v>0.89534185650514686</v>
      </c>
      <c r="X53" s="60"/>
    </row>
    <row r="54" spans="1:37" ht="15.75" x14ac:dyDescent="0.25">
      <c r="A54" s="76">
        <v>2050</v>
      </c>
      <c r="B54" s="100">
        <f t="shared" si="13"/>
        <v>292.41148825608633</v>
      </c>
      <c r="C54" s="101">
        <f t="shared" si="18"/>
        <v>256.23531487818161</v>
      </c>
      <c r="D54" s="101">
        <f xml:space="preserve"> D53* Fig_historico_Kaya!P$39 + D53</f>
        <v>366.27550706643132</v>
      </c>
      <c r="E54" s="62"/>
      <c r="F54" s="61">
        <f t="shared" si="14"/>
        <v>5222.0184362860355</v>
      </c>
      <c r="G54" s="60">
        <f t="shared" si="15"/>
        <v>4575.9677442959382</v>
      </c>
      <c r="H54" s="60">
        <f xml:space="preserve"> H53* Fig_historico_Kaya!P$39 + H53</f>
        <v>6541.1159529608822</v>
      </c>
      <c r="I54" s="62"/>
      <c r="J54" s="63">
        <f>(((B54*10^3)*90)/10^3)+F54</f>
        <v>31539.0523793338</v>
      </c>
      <c r="K54" s="60">
        <f xml:space="preserve"> (((C54*10^3)*90)/10^3)+G54</f>
        <v>27637.146083332285</v>
      </c>
      <c r="L54" s="64">
        <f xml:space="preserve"> (((D54*10^3)*90)/10^3)+H54</f>
        <v>39505.911588939707</v>
      </c>
      <c r="M54" s="65">
        <f t="shared" si="3"/>
        <v>350433.91532593116</v>
      </c>
      <c r="N54" s="65">
        <f t="shared" si="17"/>
        <v>307079.40092591423</v>
      </c>
      <c r="O54" s="65">
        <f t="shared" si="6"/>
        <v>366586.61817754246</v>
      </c>
      <c r="P54" s="36"/>
      <c r="Q54" s="65">
        <f t="shared" si="7"/>
        <v>11.41572731837719</v>
      </c>
      <c r="R54" s="65">
        <f xml:space="preserve"> R27*(1-0.271)</f>
        <v>10.798018309125176</v>
      </c>
      <c r="S54" s="65">
        <f xml:space="preserve"> S27*(1-0.341)</f>
        <v>9.7611715579060245</v>
      </c>
      <c r="T54" s="65"/>
      <c r="U54" s="65">
        <f t="shared" si="10"/>
        <v>1.0274154586539472</v>
      </c>
      <c r="V54" s="65">
        <f xml:space="preserve"> V27*(1-0.27)</f>
        <v>0.97315473650140472</v>
      </c>
      <c r="W54" s="79">
        <f xml:space="preserve"> W27*(1-0.341)</f>
        <v>0.87850544021154209</v>
      </c>
      <c r="X54" s="60"/>
    </row>
    <row r="55" spans="1:37" x14ac:dyDescent="0.25">
      <c r="B55" s="3"/>
      <c r="C55" s="3"/>
      <c r="D55" s="3"/>
      <c r="E55" s="62"/>
      <c r="F55" s="3"/>
      <c r="G55" s="3"/>
      <c r="H55" s="3"/>
      <c r="I55" s="62"/>
      <c r="J55" s="3"/>
      <c r="K55" s="3"/>
      <c r="L55" s="3"/>
      <c r="M55" s="3"/>
      <c r="N55" s="3"/>
      <c r="P55" s="36"/>
      <c r="Q55" s="6"/>
      <c r="R55" s="6"/>
      <c r="S55" s="6"/>
      <c r="T55" s="6"/>
      <c r="U55" s="3"/>
      <c r="V55" s="3"/>
      <c r="W55" s="46"/>
    </row>
    <row r="56" spans="1:37" ht="210" x14ac:dyDescent="0.25">
      <c r="A56" s="67" t="s">
        <v>7</v>
      </c>
      <c r="B56" s="4" t="s">
        <v>93</v>
      </c>
      <c r="C56" s="4" t="s">
        <v>94</v>
      </c>
      <c r="D56" s="68" t="s">
        <v>71</v>
      </c>
      <c r="E56" s="69"/>
      <c r="F56" s="68" t="s">
        <v>72</v>
      </c>
      <c r="G56" s="4" t="s">
        <v>90</v>
      </c>
      <c r="H56" s="4" t="s">
        <v>81</v>
      </c>
      <c r="I56" s="69"/>
      <c r="J56" s="70"/>
      <c r="K56" s="70"/>
      <c r="L56" s="70"/>
      <c r="M56" s="71"/>
      <c r="N56" s="70"/>
      <c r="O56" s="70"/>
      <c r="P56" s="72"/>
      <c r="Q56" s="68" t="s">
        <v>82</v>
      </c>
      <c r="R56" s="68" t="s">
        <v>83</v>
      </c>
      <c r="S56" s="73" t="s">
        <v>85</v>
      </c>
    </row>
    <row r="57" spans="1:37" ht="30" x14ac:dyDescent="0.25">
      <c r="A57" s="32" t="s">
        <v>92</v>
      </c>
      <c r="B57">
        <v>0.71</v>
      </c>
      <c r="C57">
        <v>0.54</v>
      </c>
      <c r="D57">
        <v>1</v>
      </c>
    </row>
    <row r="58" spans="1:37" ht="30" x14ac:dyDescent="0.25">
      <c r="A58" s="32" t="s">
        <v>91</v>
      </c>
      <c r="B58">
        <v>-1.47</v>
      </c>
      <c r="C58">
        <v>-1.29</v>
      </c>
      <c r="D58">
        <v>1</v>
      </c>
      <c r="J58" s="6">
        <f>(J55*10^6)/10^12</f>
        <v>0</v>
      </c>
      <c r="K58" s="6">
        <f t="shared" ref="K58:L58" si="19">(K55*10^6)/10^12</f>
        <v>0</v>
      </c>
      <c r="L58" s="6">
        <f t="shared" si="19"/>
        <v>0</v>
      </c>
      <c r="M58" s="6">
        <f>(M55*10^6)/10^12</f>
        <v>0</v>
      </c>
      <c r="N58" s="6">
        <f t="shared" ref="N58:O58" si="20">(N55*10^6)/10^12</f>
        <v>0</v>
      </c>
      <c r="O58" s="6">
        <f t="shared" si="20"/>
        <v>0</v>
      </c>
      <c r="AI58" s="3"/>
      <c r="AJ58" s="3"/>
      <c r="AK58" s="3"/>
    </row>
    <row r="59" spans="1:37" x14ac:dyDescent="0.25">
      <c r="A59" s="32"/>
      <c r="B59" s="26"/>
      <c r="J59" s="6"/>
      <c r="K59" s="6"/>
      <c r="L59" s="6"/>
      <c r="M59" s="6">
        <f>M55/10^6</f>
        <v>0</v>
      </c>
      <c r="N59" s="6">
        <f t="shared" ref="N59:O59" si="21">N55/10^6</f>
        <v>0</v>
      </c>
      <c r="O59" s="6">
        <f t="shared" si="21"/>
        <v>0</v>
      </c>
      <c r="R59" t="s">
        <v>84</v>
      </c>
    </row>
    <row r="60" spans="1:37" x14ac:dyDescent="0.25">
      <c r="A60" s="10"/>
      <c r="B60" s="26"/>
    </row>
    <row r="61" spans="1:37" x14ac:dyDescent="0.25">
      <c r="A61" s="10"/>
      <c r="B61" s="26"/>
      <c r="M61" s="3"/>
      <c r="O61" s="6"/>
      <c r="P61" s="6"/>
      <c r="Q61" s="6"/>
      <c r="R61" s="6"/>
      <c r="S61" s="6"/>
      <c r="T61" s="3"/>
      <c r="U61" s="3"/>
      <c r="V61" s="3"/>
    </row>
    <row r="62" spans="1:37" x14ac:dyDescent="0.25">
      <c r="A62" s="10"/>
      <c r="B62" s="26"/>
      <c r="C62" s="3"/>
      <c r="D62" s="3"/>
      <c r="E62" s="6"/>
      <c r="F62" s="3"/>
      <c r="G62" s="3">
        <f xml:space="preserve"> (((B23*10^3)*90)/10^3)</f>
        <v>15159.80469033</v>
      </c>
      <c r="H62" s="3"/>
      <c r="I62" s="3"/>
      <c r="J62" s="3"/>
      <c r="K62" s="3"/>
      <c r="L62" s="3"/>
      <c r="M62" s="3"/>
      <c r="N62" s="3"/>
      <c r="P62" s="6"/>
      <c r="Q62" s="6"/>
      <c r="R62" s="6"/>
      <c r="S62" s="6"/>
      <c r="T62" s="6"/>
      <c r="U62" s="3"/>
      <c r="V62" s="3"/>
      <c r="W62" s="46"/>
    </row>
    <row r="63" spans="1:37" x14ac:dyDescent="0.25">
      <c r="B63" s="3"/>
      <c r="C63" s="3"/>
      <c r="D63" s="3"/>
      <c r="E63" s="6"/>
      <c r="F63" s="3"/>
      <c r="G63" s="3"/>
      <c r="H63" s="3"/>
      <c r="I63" s="3"/>
      <c r="J63" s="3"/>
      <c r="K63" s="3"/>
      <c r="L63" s="3"/>
      <c r="M63" s="3"/>
      <c r="N63" s="3"/>
      <c r="P63" s="6"/>
      <c r="Q63" s="6"/>
      <c r="R63" s="6"/>
      <c r="S63" s="6"/>
      <c r="T63" s="6"/>
      <c r="U63" s="3"/>
      <c r="V63" s="3"/>
      <c r="W63" s="46"/>
    </row>
    <row r="64" spans="1:37" x14ac:dyDescent="0.25">
      <c r="M64" s="3"/>
      <c r="N64" s="3"/>
      <c r="P64" s="6"/>
      <c r="Q64" s="6"/>
      <c r="R64" s="6"/>
      <c r="S64" s="6"/>
      <c r="T64" s="6"/>
      <c r="U64" s="3"/>
      <c r="V64" s="3"/>
      <c r="W64" s="46"/>
    </row>
    <row r="65" spans="1:23" x14ac:dyDescent="0.25">
      <c r="M65" s="3"/>
      <c r="N65" s="3"/>
      <c r="P65" s="6"/>
      <c r="Q65" s="6"/>
      <c r="R65" s="6"/>
      <c r="S65" s="6"/>
      <c r="T65" s="6"/>
      <c r="U65" s="3"/>
      <c r="V65" s="3"/>
      <c r="W65" s="46"/>
    </row>
    <row r="71" spans="1:23" x14ac:dyDescent="0.25">
      <c r="A71" t="s">
        <v>20</v>
      </c>
    </row>
    <row r="72" spans="1:23" x14ac:dyDescent="0.25">
      <c r="B72">
        <v>0.77743872633051014</v>
      </c>
    </row>
    <row r="73" spans="1:23" x14ac:dyDescent="0.25">
      <c r="B73">
        <v>0.2225612736694898</v>
      </c>
    </row>
    <row r="76" spans="1:23" x14ac:dyDescent="0.25">
      <c r="B76">
        <v>0.65219805966422129</v>
      </c>
    </row>
    <row r="77" spans="1:23" x14ac:dyDescent="0.25">
      <c r="B77">
        <v>0.18494693909707469</v>
      </c>
    </row>
    <row r="79" spans="1:23" x14ac:dyDescent="0.25">
      <c r="B79">
        <v>0.29280064679371848</v>
      </c>
    </row>
    <row r="93" spans="1:23" x14ac:dyDescent="0.25">
      <c r="B93" s="1" t="s">
        <v>76</v>
      </c>
      <c r="C93" t="s">
        <v>78</v>
      </c>
      <c r="D93" t="s">
        <v>79</v>
      </c>
      <c r="S93" s="47"/>
      <c r="W93"/>
    </row>
    <row r="94" spans="1:23" ht="15.75" x14ac:dyDescent="0.25">
      <c r="A94" s="75">
        <v>2023</v>
      </c>
      <c r="B94" s="2">
        <v>20584.419166157877</v>
      </c>
      <c r="C94" s="88">
        <f xml:space="preserve"> B95-B94</f>
        <v>624.32543330956833</v>
      </c>
      <c r="D94" s="88">
        <f>C94/B94</f>
        <v>3.0329999999999996E-2</v>
      </c>
      <c r="S94" s="47"/>
      <c r="W94"/>
    </row>
    <row r="95" spans="1:23" ht="15.75" x14ac:dyDescent="0.25">
      <c r="A95" s="76">
        <v>2024</v>
      </c>
      <c r="B95">
        <f xml:space="preserve"> B94*0.03033 + B94</f>
        <v>21208.744599467445</v>
      </c>
      <c r="C95" s="88">
        <f t="shared" ref="C95:C121" si="22" xml:space="preserve"> B96-B95</f>
        <v>643.26122370184748</v>
      </c>
      <c r="D95" s="88">
        <f t="shared" ref="D95:D121" si="23">C95/B95</f>
        <v>3.0329999999999992E-2</v>
      </c>
      <c r="S95" s="47"/>
      <c r="W95"/>
    </row>
    <row r="96" spans="1:23" ht="15.75" x14ac:dyDescent="0.25">
      <c r="A96" s="76">
        <v>2025</v>
      </c>
      <c r="B96">
        <f t="shared" ref="B96:B121" si="24" xml:space="preserve"> B95*0.03033 + B95</f>
        <v>21852.005823169293</v>
      </c>
      <c r="C96" s="88">
        <f t="shared" si="22"/>
        <v>662.77133661672633</v>
      </c>
      <c r="D96" s="88">
        <f t="shared" si="23"/>
        <v>3.0330000000000076E-2</v>
      </c>
      <c r="S96" s="47"/>
      <c r="W96"/>
    </row>
    <row r="97" spans="1:23" ht="15.75" x14ac:dyDescent="0.25">
      <c r="A97" s="76">
        <v>2026</v>
      </c>
      <c r="B97">
        <f t="shared" si="24"/>
        <v>22514.777159786019</v>
      </c>
      <c r="C97" s="88">
        <f t="shared" si="22"/>
        <v>682.87319125630893</v>
      </c>
      <c r="D97" s="88">
        <f t="shared" si="23"/>
        <v>3.0329999999999954E-2</v>
      </c>
      <c r="S97" s="47"/>
      <c r="W97"/>
    </row>
    <row r="98" spans="1:23" ht="15.75" x14ac:dyDescent="0.25">
      <c r="A98" s="76">
        <v>2027</v>
      </c>
      <c r="B98">
        <f t="shared" si="24"/>
        <v>23197.650351042328</v>
      </c>
      <c r="C98" s="88">
        <f t="shared" si="22"/>
        <v>703.58473514711295</v>
      </c>
      <c r="D98" s="88">
        <f t="shared" si="23"/>
        <v>3.0329999999999965E-2</v>
      </c>
      <c r="S98" s="47"/>
      <c r="W98"/>
    </row>
    <row r="99" spans="1:23" ht="15.75" x14ac:dyDescent="0.25">
      <c r="A99" s="76">
        <v>2028</v>
      </c>
      <c r="B99">
        <f t="shared" si="24"/>
        <v>23901.235086189441</v>
      </c>
      <c r="C99" s="88">
        <f t="shared" si="22"/>
        <v>724.92446016412578</v>
      </c>
      <c r="D99" s="88">
        <f t="shared" si="23"/>
        <v>3.0330000000000003E-2</v>
      </c>
      <c r="S99" s="47"/>
      <c r="W99"/>
    </row>
    <row r="100" spans="1:23" ht="15.75" x14ac:dyDescent="0.25">
      <c r="A100" s="76">
        <v>2029</v>
      </c>
      <c r="B100">
        <f t="shared" si="24"/>
        <v>24626.159546353567</v>
      </c>
      <c r="C100" s="88">
        <f t="shared" si="22"/>
        <v>746.91141904090546</v>
      </c>
      <c r="D100" s="88">
        <f t="shared" si="23"/>
        <v>3.0330000000000072E-2</v>
      </c>
      <c r="S100" s="47"/>
      <c r="W100"/>
    </row>
    <row r="101" spans="1:23" ht="15.75" x14ac:dyDescent="0.25">
      <c r="A101" s="76">
        <v>2030</v>
      </c>
      <c r="B101">
        <f t="shared" si="24"/>
        <v>25373.070965394472</v>
      </c>
      <c r="C101" s="88">
        <f t="shared" si="22"/>
        <v>769.56524238041311</v>
      </c>
      <c r="D101" s="88">
        <f t="shared" si="23"/>
        <v>3.0329999999999951E-2</v>
      </c>
      <c r="S101" s="47"/>
      <c r="W101"/>
    </row>
    <row r="102" spans="1:23" ht="15.75" x14ac:dyDescent="0.25">
      <c r="A102" s="76">
        <v>2031</v>
      </c>
      <c r="B102">
        <f t="shared" si="24"/>
        <v>26142.636207774885</v>
      </c>
      <c r="C102" s="88">
        <f t="shared" si="22"/>
        <v>792.90615618181255</v>
      </c>
      <c r="D102" s="88">
        <f t="shared" si="23"/>
        <v>3.033000000000001E-2</v>
      </c>
      <c r="S102" s="47"/>
      <c r="W102"/>
    </row>
    <row r="103" spans="1:23" ht="15.75" x14ac:dyDescent="0.25">
      <c r="A103" s="76">
        <v>2032</v>
      </c>
      <c r="B103">
        <f t="shared" si="24"/>
        <v>26935.542363956698</v>
      </c>
      <c r="C103" s="88">
        <f t="shared" si="22"/>
        <v>816.95499989880773</v>
      </c>
      <c r="D103" s="88">
        <f t="shared" si="23"/>
        <v>3.0330000000000041E-2</v>
      </c>
      <c r="S103" s="47"/>
      <c r="W103"/>
    </row>
    <row r="104" spans="1:23" ht="15.75" x14ac:dyDescent="0.25">
      <c r="A104" s="76">
        <v>2033</v>
      </c>
      <c r="B104">
        <f t="shared" si="24"/>
        <v>27752.497363855506</v>
      </c>
      <c r="C104" s="88">
        <f t="shared" si="22"/>
        <v>841.73324504573611</v>
      </c>
      <c r="D104" s="88">
        <f t="shared" si="23"/>
        <v>3.0329999999999951E-2</v>
      </c>
      <c r="S104" s="47"/>
      <c r="W104"/>
    </row>
    <row r="105" spans="1:23" ht="15.75" x14ac:dyDescent="0.25">
      <c r="A105" s="76">
        <v>2034</v>
      </c>
      <c r="B105">
        <f t="shared" si="24"/>
        <v>28594.230608901242</v>
      </c>
      <c r="C105" s="88">
        <f t="shared" si="22"/>
        <v>867.26301436797439</v>
      </c>
      <c r="D105" s="88">
        <f t="shared" si="23"/>
        <v>3.0329999999999989E-2</v>
      </c>
      <c r="S105" s="47"/>
      <c r="W105"/>
    </row>
    <row r="106" spans="1:23" ht="15.75" x14ac:dyDescent="0.25">
      <c r="A106" s="76">
        <v>2035</v>
      </c>
      <c r="B106">
        <f t="shared" si="24"/>
        <v>29461.493623269216</v>
      </c>
      <c r="C106" s="88">
        <f t="shared" si="22"/>
        <v>893.56710159375507</v>
      </c>
      <c r="D106" s="88">
        <f t="shared" si="23"/>
        <v>3.0329999999999992E-2</v>
      </c>
      <c r="S106" s="47"/>
      <c r="W106"/>
    </row>
    <row r="107" spans="1:23" ht="15.75" x14ac:dyDescent="0.25">
      <c r="A107" s="76">
        <v>2036</v>
      </c>
      <c r="B107">
        <f t="shared" si="24"/>
        <v>30355.060724862971</v>
      </c>
      <c r="C107" s="88">
        <f t="shared" si="22"/>
        <v>920.66899178509266</v>
      </c>
      <c r="D107" s="88">
        <f t="shared" si="23"/>
        <v>3.0329999999999958E-2</v>
      </c>
      <c r="S107" s="47"/>
      <c r="W107"/>
    </row>
    <row r="108" spans="1:23" ht="15.75" x14ac:dyDescent="0.25">
      <c r="A108" s="76">
        <v>2037</v>
      </c>
      <c r="B108">
        <f t="shared" si="24"/>
        <v>31275.729716648064</v>
      </c>
      <c r="C108" s="88">
        <f t="shared" si="22"/>
        <v>948.59288230593666</v>
      </c>
      <c r="D108" s="88">
        <f t="shared" si="23"/>
        <v>3.0330000000000027E-2</v>
      </c>
      <c r="S108" s="47"/>
      <c r="W108"/>
    </row>
    <row r="109" spans="1:23" ht="15.75" x14ac:dyDescent="0.25">
      <c r="A109" s="76">
        <v>2038</v>
      </c>
      <c r="B109">
        <f t="shared" si="24"/>
        <v>32224.322598954001</v>
      </c>
      <c r="C109" s="88">
        <f t="shared" si="22"/>
        <v>977.36370442627231</v>
      </c>
      <c r="D109" s="88">
        <f t="shared" si="23"/>
        <v>3.0329999999999923E-2</v>
      </c>
      <c r="S109" s="47"/>
      <c r="W109"/>
    </row>
    <row r="110" spans="1:23" ht="15.75" x14ac:dyDescent="0.25">
      <c r="A110" s="76">
        <v>2039</v>
      </c>
      <c r="B110">
        <f t="shared" si="24"/>
        <v>33201.686303380273</v>
      </c>
      <c r="C110" s="88">
        <f t="shared" si="22"/>
        <v>1007.0071455815269</v>
      </c>
      <c r="D110" s="88">
        <f t="shared" si="23"/>
        <v>3.0330000000000096E-2</v>
      </c>
      <c r="S110" s="47"/>
      <c r="W110"/>
    </row>
    <row r="111" spans="1:23" ht="15.75" x14ac:dyDescent="0.25">
      <c r="A111" s="76">
        <v>2040</v>
      </c>
      <c r="B111">
        <f t="shared" si="24"/>
        <v>34208.6934489618</v>
      </c>
      <c r="C111" s="88">
        <f t="shared" si="22"/>
        <v>1037.54967230701</v>
      </c>
      <c r="D111" s="88">
        <f t="shared" si="23"/>
        <v>3.0329999999999961E-2</v>
      </c>
      <c r="S111" s="47"/>
      <c r="W111"/>
    </row>
    <row r="112" spans="1:23" ht="15.75" x14ac:dyDescent="0.25">
      <c r="A112" s="76">
        <v>2041</v>
      </c>
      <c r="B112">
        <f t="shared" si="24"/>
        <v>35246.24312126881</v>
      </c>
      <c r="C112" s="88">
        <f t="shared" si="22"/>
        <v>1069.0185538680817</v>
      </c>
      <c r="D112" s="88">
        <f t="shared" si="23"/>
        <v>3.0329999999999961E-2</v>
      </c>
      <c r="S112" s="47"/>
      <c r="W112"/>
    </row>
    <row r="113" spans="1:23" ht="15.75" x14ac:dyDescent="0.25">
      <c r="A113" s="76">
        <v>2042</v>
      </c>
      <c r="B113">
        <f t="shared" si="24"/>
        <v>36315.261675136891</v>
      </c>
      <c r="C113" s="88">
        <f t="shared" si="22"/>
        <v>1101.4418866069027</v>
      </c>
      <c r="D113" s="88">
        <f t="shared" si="23"/>
        <v>3.033000000000002E-2</v>
      </c>
      <c r="S113" s="47"/>
      <c r="W113"/>
    </row>
    <row r="114" spans="1:23" ht="15.75" x14ac:dyDescent="0.25">
      <c r="A114" s="76">
        <v>2043</v>
      </c>
      <c r="B114">
        <f t="shared" si="24"/>
        <v>37416.703561743794</v>
      </c>
      <c r="C114" s="88">
        <f t="shared" si="22"/>
        <v>1134.848619027689</v>
      </c>
      <c r="D114" s="88">
        <f t="shared" si="23"/>
        <v>3.0329999999999992E-2</v>
      </c>
      <c r="S114" s="47"/>
      <c r="W114"/>
    </row>
    <row r="115" spans="1:23" ht="15.75" x14ac:dyDescent="0.25">
      <c r="A115" s="76">
        <v>2044</v>
      </c>
      <c r="B115">
        <f t="shared" si="24"/>
        <v>38551.552180771483</v>
      </c>
      <c r="C115" s="88">
        <f t="shared" si="22"/>
        <v>1169.268577642797</v>
      </c>
      <c r="D115" s="88">
        <f t="shared" si="23"/>
        <v>3.0329999999999947E-2</v>
      </c>
      <c r="S115" s="47"/>
      <c r="W115"/>
    </row>
    <row r="116" spans="1:23" ht="15.75" x14ac:dyDescent="0.25">
      <c r="A116" s="76">
        <v>2045</v>
      </c>
      <c r="B116">
        <f t="shared" si="24"/>
        <v>39720.82075841428</v>
      </c>
      <c r="C116" s="88">
        <f t="shared" si="22"/>
        <v>1204.7324936027071</v>
      </c>
      <c r="D116" s="88">
        <f t="shared" si="23"/>
        <v>3.0330000000000051E-2</v>
      </c>
      <c r="S116" s="47"/>
      <c r="W116"/>
    </row>
    <row r="117" spans="1:23" ht="15.75" x14ac:dyDescent="0.25">
      <c r="A117" s="76">
        <v>2046</v>
      </c>
      <c r="B117">
        <f t="shared" si="24"/>
        <v>40925.553252016987</v>
      </c>
      <c r="C117" s="88">
        <f t="shared" si="22"/>
        <v>1241.272030133674</v>
      </c>
      <c r="D117" s="88">
        <f t="shared" si="23"/>
        <v>3.0329999999999968E-2</v>
      </c>
      <c r="S117" s="47"/>
      <c r="W117"/>
    </row>
    <row r="118" spans="1:23" ht="15.75" x14ac:dyDescent="0.25">
      <c r="A118" s="76">
        <v>2047</v>
      </c>
      <c r="B118">
        <f t="shared" si="24"/>
        <v>42166.825282150661</v>
      </c>
      <c r="C118" s="88">
        <f t="shared" si="22"/>
        <v>1278.9198108076307</v>
      </c>
      <c r="D118" s="88">
        <f t="shared" si="23"/>
        <v>3.0330000000000027E-2</v>
      </c>
      <c r="S118" s="47"/>
      <c r="W118"/>
    </row>
    <row r="119" spans="1:23" ht="15.75" x14ac:dyDescent="0.25">
      <c r="A119" s="76">
        <v>2048</v>
      </c>
      <c r="B119">
        <f t="shared" si="24"/>
        <v>43445.745092958292</v>
      </c>
      <c r="C119" s="88">
        <f t="shared" si="22"/>
        <v>1317.7094486694259</v>
      </c>
      <c r="D119" s="88">
        <f t="shared" si="23"/>
        <v>3.033000000000002E-2</v>
      </c>
      <c r="S119" s="47"/>
      <c r="W119"/>
    </row>
    <row r="120" spans="1:23" ht="15.75" x14ac:dyDescent="0.25">
      <c r="A120" s="76">
        <v>2049</v>
      </c>
      <c r="B120">
        <f t="shared" si="24"/>
        <v>44763.454541627718</v>
      </c>
      <c r="C120" s="88">
        <f t="shared" si="22"/>
        <v>1357.6755762475659</v>
      </c>
      <c r="D120" s="88">
        <f t="shared" si="23"/>
        <v>3.0329999999999937E-2</v>
      </c>
      <c r="S120" s="47"/>
      <c r="W120"/>
    </row>
    <row r="121" spans="1:23" ht="15.75" x14ac:dyDescent="0.25">
      <c r="A121" s="76">
        <v>2050</v>
      </c>
      <c r="B121">
        <f t="shared" si="24"/>
        <v>46121.130117875284</v>
      </c>
      <c r="C121" s="88">
        <f t="shared" si="22"/>
        <v>-46121.130117875284</v>
      </c>
      <c r="D121" s="88">
        <f t="shared" si="23"/>
        <v>-1</v>
      </c>
      <c r="S121" s="47"/>
      <c r="W121"/>
    </row>
  </sheetData>
  <mergeCells count="11">
    <mergeCell ref="A1:A3"/>
    <mergeCell ref="Q2:S2"/>
    <mergeCell ref="U2:W2"/>
    <mergeCell ref="Q1:W1"/>
    <mergeCell ref="B2:D2"/>
    <mergeCell ref="B1:D1"/>
    <mergeCell ref="M2:O2"/>
    <mergeCell ref="F1:H1"/>
    <mergeCell ref="F2:H2"/>
    <mergeCell ref="J1:O1"/>
    <mergeCell ref="J2:L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AD798-A272-4A95-89D5-4E5CCE35DF18}">
  <dimension ref="A1:AJ114"/>
  <sheetViews>
    <sheetView topLeftCell="A63" zoomScale="85" zoomScaleNormal="85" workbookViewId="0">
      <pane xSplit="1" topLeftCell="B1" activePane="topRight" state="frozen"/>
      <selection pane="topRight" activeCell="AH2" sqref="AH2:AJ2"/>
    </sheetView>
  </sheetViews>
  <sheetFormatPr defaultRowHeight="15" x14ac:dyDescent="0.25"/>
  <cols>
    <col min="1" max="1" width="12.42578125" customWidth="1"/>
    <col min="2" max="2" width="10" customWidth="1"/>
    <col min="3" max="3" width="15.85546875" customWidth="1"/>
    <col min="4" max="4" width="14.28515625" customWidth="1"/>
    <col min="5" max="5" width="8.7109375" customWidth="1"/>
    <col min="6" max="6" width="10.85546875" customWidth="1"/>
    <col min="7" max="7" width="14.85546875" customWidth="1"/>
    <col min="8" max="8" width="13.28515625" customWidth="1"/>
    <col min="9" max="9" width="9.5703125" customWidth="1"/>
    <col min="10" max="10" width="11" customWidth="1"/>
    <col min="11" max="11" width="15.7109375" customWidth="1"/>
    <col min="12" max="12" width="13.28515625" customWidth="1"/>
    <col min="13" max="13" width="8" customWidth="1"/>
    <col min="14" max="14" width="10.28515625" customWidth="1"/>
    <col min="15" max="15" width="13.42578125" customWidth="1"/>
    <col min="16" max="16" width="16.28515625" customWidth="1"/>
    <col min="18" max="18" width="11" customWidth="1"/>
    <col min="19" max="19" width="15.28515625" customWidth="1"/>
    <col min="20" max="20" width="13.5703125" customWidth="1"/>
    <col min="22" max="22" width="10.42578125" customWidth="1"/>
    <col min="23" max="23" width="12.7109375" customWidth="1"/>
    <col min="24" max="24" width="13.42578125" customWidth="1"/>
    <col min="26" max="26" width="11.28515625" customWidth="1"/>
    <col min="27" max="27" width="13.28515625" customWidth="1"/>
    <col min="28" max="28" width="12.85546875" customWidth="1"/>
    <col min="30" max="30" width="11.42578125" customWidth="1"/>
    <col min="31" max="31" width="13.42578125" customWidth="1"/>
    <col min="32" max="32" width="13" customWidth="1"/>
    <col min="34" max="34" width="11.42578125" customWidth="1"/>
    <col min="35" max="35" width="13.85546875" customWidth="1"/>
    <col min="36" max="36" width="13.5703125" customWidth="1"/>
  </cols>
  <sheetData>
    <row r="1" spans="1:36" ht="21" x14ac:dyDescent="0.35">
      <c r="A1" s="201" t="s">
        <v>89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84"/>
      <c r="N1" s="201" t="s">
        <v>89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84"/>
      <c r="Z1" s="201" t="s">
        <v>89</v>
      </c>
      <c r="AA1" s="201"/>
      <c r="AB1" s="201"/>
      <c r="AC1" s="201"/>
      <c r="AD1" s="201"/>
      <c r="AE1" s="201"/>
      <c r="AF1" s="201"/>
      <c r="AG1" s="201"/>
      <c r="AH1" s="201"/>
      <c r="AI1" s="201"/>
      <c r="AJ1" s="201"/>
    </row>
    <row r="2" spans="1:36" ht="18.75" x14ac:dyDescent="0.25">
      <c r="A2" s="200" t="s">
        <v>28</v>
      </c>
      <c r="B2" s="202" t="s">
        <v>607</v>
      </c>
      <c r="C2" s="202"/>
      <c r="D2" s="202"/>
      <c r="E2" s="84"/>
      <c r="F2" s="202" t="s">
        <v>608</v>
      </c>
      <c r="G2" s="202"/>
      <c r="H2" s="202"/>
      <c r="I2" s="84"/>
      <c r="J2" s="202" t="s">
        <v>609</v>
      </c>
      <c r="K2" s="202"/>
      <c r="L2" s="202"/>
      <c r="M2" s="84"/>
      <c r="N2" s="204" t="s">
        <v>610</v>
      </c>
      <c r="O2" s="204"/>
      <c r="P2" s="204"/>
      <c r="Q2" s="84"/>
      <c r="R2" s="204" t="s">
        <v>611</v>
      </c>
      <c r="S2" s="204"/>
      <c r="T2" s="204"/>
      <c r="U2" s="84"/>
      <c r="V2" s="204" t="s">
        <v>612</v>
      </c>
      <c r="W2" s="204"/>
      <c r="X2" s="204"/>
      <c r="Y2" s="84"/>
      <c r="Z2" s="203" t="s">
        <v>613</v>
      </c>
      <c r="AA2" s="203"/>
      <c r="AB2" s="203"/>
      <c r="AC2" s="84"/>
      <c r="AD2" s="203" t="s">
        <v>614</v>
      </c>
      <c r="AE2" s="203"/>
      <c r="AF2" s="203"/>
      <c r="AG2" s="84"/>
      <c r="AH2" s="203" t="s">
        <v>615</v>
      </c>
      <c r="AI2" s="203"/>
      <c r="AJ2" s="203"/>
    </row>
    <row r="3" spans="1:36" ht="55.5" customHeight="1" x14ac:dyDescent="0.25">
      <c r="A3" s="200"/>
      <c r="B3" s="89" t="s">
        <v>88</v>
      </c>
      <c r="C3" s="89" t="s">
        <v>87</v>
      </c>
      <c r="D3" s="89" t="s">
        <v>86</v>
      </c>
      <c r="E3" s="85"/>
      <c r="F3" s="89" t="s">
        <v>88</v>
      </c>
      <c r="G3" s="89" t="s">
        <v>87</v>
      </c>
      <c r="H3" s="89" t="s">
        <v>86</v>
      </c>
      <c r="I3" s="84"/>
      <c r="J3" s="89" t="s">
        <v>88</v>
      </c>
      <c r="K3" s="89" t="s">
        <v>87</v>
      </c>
      <c r="L3" s="89" t="s">
        <v>86</v>
      </c>
      <c r="M3" s="84"/>
      <c r="N3" s="89" t="s">
        <v>88</v>
      </c>
      <c r="O3" s="89" t="s">
        <v>87</v>
      </c>
      <c r="P3" s="89" t="s">
        <v>86</v>
      </c>
      <c r="Q3" s="85"/>
      <c r="R3" s="89" t="s">
        <v>88</v>
      </c>
      <c r="S3" s="89" t="s">
        <v>87</v>
      </c>
      <c r="T3" s="89" t="s">
        <v>86</v>
      </c>
      <c r="U3" s="85"/>
      <c r="V3" s="89" t="s">
        <v>88</v>
      </c>
      <c r="W3" s="89" t="s">
        <v>87</v>
      </c>
      <c r="X3" s="89" t="s">
        <v>86</v>
      </c>
      <c r="Y3" s="84"/>
      <c r="Z3" s="89" t="s">
        <v>88</v>
      </c>
      <c r="AA3" s="89" t="s">
        <v>87</v>
      </c>
      <c r="AB3" s="89" t="s">
        <v>86</v>
      </c>
      <c r="AC3" s="84"/>
      <c r="AD3" s="89" t="s">
        <v>88</v>
      </c>
      <c r="AE3" s="89" t="s">
        <v>87</v>
      </c>
      <c r="AF3" s="89" t="s">
        <v>86</v>
      </c>
      <c r="AG3" s="85"/>
      <c r="AH3" s="89" t="s">
        <v>88</v>
      </c>
      <c r="AI3" s="89" t="s">
        <v>87</v>
      </c>
      <c r="AJ3" s="98" t="s">
        <v>86</v>
      </c>
    </row>
    <row r="4" spans="1:36" ht="15.75" x14ac:dyDescent="0.25">
      <c r="A4" s="74">
        <v>2000</v>
      </c>
      <c r="B4">
        <f xml:space="preserve"> Fig_futuro_Kaya!J4*10^6</f>
        <v>6758481739.9920015</v>
      </c>
      <c r="C4" s="52">
        <f xml:space="preserve"> Fig_historico_Kaya!K14</f>
        <v>26.646484732562602</v>
      </c>
      <c r="D4">
        <f t="shared" ref="D4:D28" si="0" xml:space="preserve"> B4*C4</f>
        <v>180089780500</v>
      </c>
      <c r="E4" s="85"/>
      <c r="F4" s="89">
        <v>6758481739.9920015</v>
      </c>
      <c r="G4" s="89">
        <v>26.646484732562602</v>
      </c>
      <c r="H4" s="89">
        <v>180089780500</v>
      </c>
      <c r="I4" s="84"/>
      <c r="J4" s="89">
        <v>6758481739.9920015</v>
      </c>
      <c r="K4" s="89">
        <v>26.646484732562602</v>
      </c>
      <c r="L4" s="89">
        <v>180089780500</v>
      </c>
      <c r="M4" s="84"/>
      <c r="N4" s="89">
        <v>6758481739.9920015</v>
      </c>
      <c r="O4">
        <v>26.646484732562602</v>
      </c>
      <c r="P4">
        <v>180089780500</v>
      </c>
      <c r="Q4" s="85"/>
      <c r="R4" s="89">
        <v>6758481739.9920015</v>
      </c>
      <c r="S4" s="89">
        <v>26.646484732562602</v>
      </c>
      <c r="T4">
        <v>180089780500</v>
      </c>
      <c r="U4" s="85"/>
      <c r="V4">
        <v>6758481739.9920015</v>
      </c>
      <c r="W4">
        <v>26.646484732562602</v>
      </c>
      <c r="X4">
        <v>180089780500</v>
      </c>
      <c r="Y4" s="84"/>
      <c r="Z4">
        <v>6758481739.9920015</v>
      </c>
      <c r="AA4">
        <v>26.646484732562602</v>
      </c>
      <c r="AB4">
        <v>180089780500</v>
      </c>
      <c r="AC4" s="84"/>
      <c r="AD4">
        <v>6758481739.9920015</v>
      </c>
      <c r="AE4">
        <v>26.646484732562602</v>
      </c>
      <c r="AF4">
        <v>180089780500</v>
      </c>
      <c r="AG4" s="85"/>
      <c r="AH4">
        <v>6758481739.9920015</v>
      </c>
      <c r="AI4">
        <v>26.646484732562602</v>
      </c>
      <c r="AJ4" s="47">
        <v>180089780500</v>
      </c>
    </row>
    <row r="5" spans="1:36" ht="15.75" x14ac:dyDescent="0.25">
      <c r="A5" s="74">
        <v>2001</v>
      </c>
      <c r="B5">
        <f xml:space="preserve"> Fig_futuro_Kaya!J5*10^6</f>
        <v>6530863952.4310007</v>
      </c>
      <c r="C5" s="52">
        <f xml:space="preserve"> Fig_historico_Kaya!K15</f>
        <v>27.765892816141285</v>
      </c>
      <c r="D5">
        <f t="shared" si="0"/>
        <v>181335268500</v>
      </c>
      <c r="E5" s="85"/>
      <c r="F5" s="89">
        <v>6530863952.4310007</v>
      </c>
      <c r="G5" s="89">
        <v>27.765892816141285</v>
      </c>
      <c r="H5" s="89">
        <v>181335268500</v>
      </c>
      <c r="I5" s="84"/>
      <c r="J5" s="89">
        <v>6530863952.4310007</v>
      </c>
      <c r="K5" s="89">
        <v>27.765892816141285</v>
      </c>
      <c r="L5" s="89">
        <v>181335268500</v>
      </c>
      <c r="M5" s="84"/>
      <c r="N5" s="89">
        <v>6530863952.4310007</v>
      </c>
      <c r="O5">
        <v>27.765892816141285</v>
      </c>
      <c r="P5">
        <v>181335268500</v>
      </c>
      <c r="Q5" s="85"/>
      <c r="R5" s="89">
        <v>6530863952.4310007</v>
      </c>
      <c r="S5" s="89">
        <v>27.765892816141285</v>
      </c>
      <c r="T5">
        <v>181335268500</v>
      </c>
      <c r="U5" s="85"/>
      <c r="V5">
        <v>6530863952.4310007</v>
      </c>
      <c r="W5">
        <v>27.765892816141285</v>
      </c>
      <c r="X5">
        <v>181335268500</v>
      </c>
      <c r="Y5" s="84"/>
      <c r="Z5">
        <v>6530863952.4310007</v>
      </c>
      <c r="AA5">
        <v>27.765892816141285</v>
      </c>
      <c r="AB5">
        <v>181335268500</v>
      </c>
      <c r="AC5" s="84"/>
      <c r="AD5">
        <v>6530863952.4310007</v>
      </c>
      <c r="AE5">
        <v>27.765892816141285</v>
      </c>
      <c r="AF5">
        <v>181335268500</v>
      </c>
      <c r="AG5" s="85"/>
      <c r="AH5">
        <v>6530863952.4310007</v>
      </c>
      <c r="AI5">
        <v>27.765892816141285</v>
      </c>
      <c r="AJ5" s="47">
        <v>181335268500</v>
      </c>
    </row>
    <row r="6" spans="1:36" ht="15.75" customHeight="1" x14ac:dyDescent="0.25">
      <c r="A6" s="74">
        <v>2002</v>
      </c>
      <c r="B6">
        <f xml:space="preserve"> Fig_futuro_Kaya!J6*10^6</f>
        <v>6612586678.9659996</v>
      </c>
      <c r="C6" s="52">
        <f xml:space="preserve"> Fig_historico_Kaya!K16</f>
        <v>27.45217337981051</v>
      </c>
      <c r="D6">
        <f t="shared" si="0"/>
        <v>181529876000</v>
      </c>
      <c r="E6" s="85"/>
      <c r="F6" s="89">
        <v>6612586678.9659996</v>
      </c>
      <c r="G6" s="89">
        <v>27.45217337981051</v>
      </c>
      <c r="H6" s="89">
        <v>181529876000</v>
      </c>
      <c r="I6" s="84"/>
      <c r="J6" s="89">
        <v>6612586678.9659996</v>
      </c>
      <c r="K6" s="89">
        <v>27.45217337981051</v>
      </c>
      <c r="L6" s="89">
        <v>181529876000</v>
      </c>
      <c r="M6" s="84"/>
      <c r="N6" s="89">
        <v>6612586678.9659996</v>
      </c>
      <c r="O6">
        <v>27.45217337981051</v>
      </c>
      <c r="P6">
        <v>181529876000</v>
      </c>
      <c r="Q6" s="85"/>
      <c r="R6" s="89">
        <v>6612586678.9659996</v>
      </c>
      <c r="S6" s="89">
        <v>27.45217337981051</v>
      </c>
      <c r="T6">
        <v>181529876000</v>
      </c>
      <c r="U6" s="85"/>
      <c r="V6">
        <v>6612586678.9659996</v>
      </c>
      <c r="W6">
        <v>27.45217337981051</v>
      </c>
      <c r="X6">
        <v>181529876000</v>
      </c>
      <c r="Y6" s="84"/>
      <c r="Z6">
        <v>6612586678.9659996</v>
      </c>
      <c r="AA6">
        <v>27.45217337981051</v>
      </c>
      <c r="AB6">
        <v>181529876000</v>
      </c>
      <c r="AC6" s="84"/>
      <c r="AD6">
        <v>6612586678.9659996</v>
      </c>
      <c r="AE6">
        <v>27.45217337981051</v>
      </c>
      <c r="AF6">
        <v>181529876000</v>
      </c>
      <c r="AG6" s="85"/>
      <c r="AH6">
        <v>6612586678.9659996</v>
      </c>
      <c r="AI6">
        <v>27.45217337981051</v>
      </c>
      <c r="AJ6" s="47">
        <v>181529876000</v>
      </c>
    </row>
    <row r="7" spans="1:36" ht="15.75" customHeight="1" x14ac:dyDescent="0.25">
      <c r="A7" s="74">
        <v>2003</v>
      </c>
      <c r="B7">
        <f xml:space="preserve"> Fig_futuro_Kaya!J7*10^6</f>
        <v>6522791840.7060003</v>
      </c>
      <c r="C7" s="52">
        <f xml:space="preserve"> Fig_historico_Kaya!K17</f>
        <v>24.058944671613862</v>
      </c>
      <c r="D7">
        <f t="shared" si="0"/>
        <v>156931488000</v>
      </c>
      <c r="E7" s="85"/>
      <c r="F7" s="89">
        <v>6522791840.7060003</v>
      </c>
      <c r="G7" s="89">
        <v>24.058944671613862</v>
      </c>
      <c r="H7" s="89">
        <v>156931488000</v>
      </c>
      <c r="I7" s="84"/>
      <c r="J7" s="89">
        <v>6522791840.7060003</v>
      </c>
      <c r="K7" s="89">
        <v>24.058944671613862</v>
      </c>
      <c r="L7" s="89">
        <v>156931488000</v>
      </c>
      <c r="M7" s="84"/>
      <c r="N7" s="89">
        <v>6522791840.7060003</v>
      </c>
      <c r="O7">
        <v>24.058944671613862</v>
      </c>
      <c r="P7">
        <v>156931488000</v>
      </c>
      <c r="Q7" s="85"/>
      <c r="R7" s="89">
        <v>6522791840.7060003</v>
      </c>
      <c r="S7" s="89">
        <v>24.058944671613862</v>
      </c>
      <c r="T7">
        <v>156931488000</v>
      </c>
      <c r="U7" s="85"/>
      <c r="V7">
        <v>6522791840.7060003</v>
      </c>
      <c r="W7">
        <v>24.058944671613862</v>
      </c>
      <c r="X7">
        <v>156931488000</v>
      </c>
      <c r="Y7" s="84"/>
      <c r="Z7">
        <v>6522791840.7060003</v>
      </c>
      <c r="AA7">
        <v>24.058944671613862</v>
      </c>
      <c r="AB7">
        <v>156931488000</v>
      </c>
      <c r="AC7" s="84"/>
      <c r="AD7">
        <v>6522791840.7060003</v>
      </c>
      <c r="AE7">
        <v>24.058944671613862</v>
      </c>
      <c r="AF7">
        <v>156931488000</v>
      </c>
      <c r="AG7" s="85"/>
      <c r="AH7">
        <v>6522791840.7060003</v>
      </c>
      <c r="AI7">
        <v>24.058944671613862</v>
      </c>
      <c r="AJ7" s="47">
        <v>156931488000</v>
      </c>
    </row>
    <row r="8" spans="1:36" ht="15.75" customHeight="1" x14ac:dyDescent="0.25">
      <c r="A8" s="74">
        <v>2004</v>
      </c>
      <c r="B8">
        <f xml:space="preserve"> Fig_futuro_Kaya!J8*10^6</f>
        <v>7366558713.6240015</v>
      </c>
      <c r="C8" s="52">
        <f xml:space="preserve"> Fig_historico_Kaya!K18</f>
        <v>22.322952126326239</v>
      </c>
      <c r="D8">
        <f t="shared" si="0"/>
        <v>164443337500</v>
      </c>
      <c r="E8" s="85"/>
      <c r="F8" s="89">
        <v>7366558713.6240015</v>
      </c>
      <c r="G8" s="89">
        <v>22.322952126326239</v>
      </c>
      <c r="H8" s="89">
        <v>164443337500</v>
      </c>
      <c r="I8" s="84"/>
      <c r="J8" s="89">
        <v>7366558713.6240015</v>
      </c>
      <c r="K8" s="89">
        <v>22.322952126326239</v>
      </c>
      <c r="L8" s="89">
        <v>164443337500</v>
      </c>
      <c r="M8" s="84"/>
      <c r="N8" s="89">
        <v>7366558713.6240015</v>
      </c>
      <c r="O8">
        <v>22.322952126326239</v>
      </c>
      <c r="P8">
        <v>164443337500</v>
      </c>
      <c r="Q8" s="85"/>
      <c r="R8" s="89">
        <v>7366558713.6240015</v>
      </c>
      <c r="S8" s="89">
        <v>22.322952126326239</v>
      </c>
      <c r="T8">
        <v>164443337500</v>
      </c>
      <c r="U8" s="85"/>
      <c r="V8">
        <v>7366558713.6240015</v>
      </c>
      <c r="W8">
        <v>22.322952126326239</v>
      </c>
      <c r="X8">
        <v>164443337500</v>
      </c>
      <c r="Y8" s="84"/>
      <c r="Z8">
        <v>7366558713.6240015</v>
      </c>
      <c r="AA8">
        <v>22.322952126326239</v>
      </c>
      <c r="AB8">
        <v>164443337500</v>
      </c>
      <c r="AC8" s="84"/>
      <c r="AD8">
        <v>7366558713.6240015</v>
      </c>
      <c r="AE8">
        <v>22.322952126326239</v>
      </c>
      <c r="AF8">
        <v>164443337500</v>
      </c>
      <c r="AG8" s="85"/>
      <c r="AH8">
        <v>7366558713.6240015</v>
      </c>
      <c r="AI8">
        <v>22.322952126326239</v>
      </c>
      <c r="AJ8" s="47">
        <v>164443337500</v>
      </c>
    </row>
    <row r="9" spans="1:36" ht="15.75" customHeight="1" x14ac:dyDescent="0.25">
      <c r="A9" s="74">
        <v>2005</v>
      </c>
      <c r="B9">
        <f xml:space="preserve"> Fig_futuro_Kaya!J9*10^6</f>
        <v>8261617263.7509985</v>
      </c>
      <c r="C9" s="52">
        <f xml:space="preserve"> Fig_historico_Kaya!K19</f>
        <v>21.035950016599482</v>
      </c>
      <c r="D9">
        <f t="shared" si="0"/>
        <v>173790967816.54138</v>
      </c>
      <c r="E9" s="85"/>
      <c r="F9" s="89">
        <v>8261617263.7509985</v>
      </c>
      <c r="G9" s="89">
        <v>21.035950016599482</v>
      </c>
      <c r="H9" s="89">
        <v>173790967816.54138</v>
      </c>
      <c r="I9" s="84"/>
      <c r="J9" s="89">
        <v>8261617263.7509985</v>
      </c>
      <c r="K9" s="89">
        <v>21.035950016599482</v>
      </c>
      <c r="L9" s="89">
        <v>173790967816.54138</v>
      </c>
      <c r="M9" s="84"/>
      <c r="N9" s="89">
        <v>8261617263.7509985</v>
      </c>
      <c r="O9">
        <v>21.035950016599482</v>
      </c>
      <c r="P9">
        <v>173790967816.54138</v>
      </c>
      <c r="Q9" s="85"/>
      <c r="R9" s="89">
        <v>8261617263.7509985</v>
      </c>
      <c r="S9" s="89">
        <v>21.035950016599482</v>
      </c>
      <c r="T9">
        <v>173790967816.54138</v>
      </c>
      <c r="U9" s="85"/>
      <c r="V9">
        <v>8261617263.7509985</v>
      </c>
      <c r="W9">
        <v>21.035950016599482</v>
      </c>
      <c r="X9">
        <v>173790967816.54138</v>
      </c>
      <c r="Y9" s="84"/>
      <c r="Z9">
        <v>8261617263.7509985</v>
      </c>
      <c r="AA9">
        <v>21.035950016599482</v>
      </c>
      <c r="AB9">
        <v>173790967816.54138</v>
      </c>
      <c r="AC9" s="84"/>
      <c r="AD9">
        <v>8261617263.7509985</v>
      </c>
      <c r="AE9">
        <v>21.035950016599482</v>
      </c>
      <c r="AF9">
        <v>173790967816.54138</v>
      </c>
      <c r="AG9" s="85"/>
      <c r="AH9">
        <v>8261617263.7509985</v>
      </c>
      <c r="AI9">
        <v>21.035950016599482</v>
      </c>
      <c r="AJ9" s="47">
        <v>173790967816.54138</v>
      </c>
    </row>
    <row r="10" spans="1:36" ht="15.75" customHeight="1" x14ac:dyDescent="0.25">
      <c r="A10" s="74">
        <v>2006</v>
      </c>
      <c r="B10">
        <f xml:space="preserve"> Fig_futuro_Kaya!J10*10^6</f>
        <v>8505316465.9410009</v>
      </c>
      <c r="C10" s="52">
        <f xml:space="preserve"> Fig_historico_Kaya!K20</f>
        <v>20.432455182109798</v>
      </c>
      <c r="D10">
        <f t="shared" si="0"/>
        <v>173784497500</v>
      </c>
      <c r="E10" s="85"/>
      <c r="F10" s="89">
        <v>8505316465.9410009</v>
      </c>
      <c r="G10" s="89">
        <v>20.432455182109798</v>
      </c>
      <c r="H10" s="89">
        <v>173784497500</v>
      </c>
      <c r="I10" s="84"/>
      <c r="J10" s="89">
        <v>8505316465.9410009</v>
      </c>
      <c r="K10" s="89">
        <v>20.432455182109798</v>
      </c>
      <c r="L10" s="89">
        <v>173784497500</v>
      </c>
      <c r="M10" s="84"/>
      <c r="N10" s="89">
        <v>8505316465.9410009</v>
      </c>
      <c r="O10">
        <v>20.432455182109798</v>
      </c>
      <c r="P10">
        <v>173784497500</v>
      </c>
      <c r="Q10" s="85"/>
      <c r="R10" s="89">
        <v>8505316465.9410009</v>
      </c>
      <c r="S10" s="89">
        <v>20.432455182109798</v>
      </c>
      <c r="T10">
        <v>173784497500</v>
      </c>
      <c r="U10" s="85"/>
      <c r="V10">
        <v>8505316465.9410009</v>
      </c>
      <c r="W10">
        <v>20.432455182109798</v>
      </c>
      <c r="X10">
        <v>173784497500</v>
      </c>
      <c r="Y10" s="84"/>
      <c r="Z10">
        <v>8505316465.9410009</v>
      </c>
      <c r="AA10">
        <v>20.432455182109798</v>
      </c>
      <c r="AB10">
        <v>173784497500</v>
      </c>
      <c r="AC10" s="84"/>
      <c r="AD10">
        <v>8505316465.9410009</v>
      </c>
      <c r="AE10">
        <v>20.432455182109798</v>
      </c>
      <c r="AF10">
        <v>173784497500</v>
      </c>
      <c r="AG10" s="85"/>
      <c r="AH10">
        <v>8505316465.9410009</v>
      </c>
      <c r="AI10">
        <v>20.432455182109798</v>
      </c>
      <c r="AJ10" s="47">
        <v>173784497500</v>
      </c>
    </row>
    <row r="11" spans="1:36" ht="15.75" customHeight="1" x14ac:dyDescent="0.25">
      <c r="A11" s="74">
        <v>2007</v>
      </c>
      <c r="B11">
        <f xml:space="preserve"> Fig_futuro_Kaya!J11*10^6</f>
        <v>9141750373.1630001</v>
      </c>
      <c r="C11" s="52">
        <f xml:space="preserve"> Fig_historico_Kaya!K21</f>
        <v>20.826422616302363</v>
      </c>
      <c r="D11">
        <f t="shared" si="0"/>
        <v>190389956724.23248</v>
      </c>
      <c r="E11" s="85"/>
      <c r="F11" s="89">
        <v>9141750373.1630001</v>
      </c>
      <c r="G11" s="89">
        <v>20.826422616302363</v>
      </c>
      <c r="H11" s="89">
        <v>190389956724.23248</v>
      </c>
      <c r="I11" s="84"/>
      <c r="J11" s="89">
        <v>9141750373.1630001</v>
      </c>
      <c r="K11" s="89">
        <v>20.826422616302363</v>
      </c>
      <c r="L11" s="89">
        <v>190389956724.23248</v>
      </c>
      <c r="M11" s="84"/>
      <c r="N11" s="89">
        <v>9141750373.1630001</v>
      </c>
      <c r="O11">
        <v>20.826422616302363</v>
      </c>
      <c r="P11">
        <v>190389956724.23248</v>
      </c>
      <c r="Q11" s="85"/>
      <c r="R11" s="89">
        <v>9141750373.1630001</v>
      </c>
      <c r="S11" s="89">
        <v>20.826422616302363</v>
      </c>
      <c r="T11">
        <v>190389956724.23248</v>
      </c>
      <c r="U11" s="85"/>
      <c r="V11">
        <v>9141750373.1630001</v>
      </c>
      <c r="W11">
        <v>20.826422616302363</v>
      </c>
      <c r="X11">
        <v>190389956724.23248</v>
      </c>
      <c r="Y11" s="84"/>
      <c r="Z11">
        <v>9141750373.1630001</v>
      </c>
      <c r="AA11">
        <v>20.826422616302363</v>
      </c>
      <c r="AB11">
        <v>190389956724.23248</v>
      </c>
      <c r="AC11" s="84"/>
      <c r="AD11">
        <v>9141750373.1630001</v>
      </c>
      <c r="AE11">
        <v>20.826422616302363</v>
      </c>
      <c r="AF11">
        <v>190389956724.23248</v>
      </c>
      <c r="AG11" s="85"/>
      <c r="AH11">
        <v>9141750373.1630001</v>
      </c>
      <c r="AI11">
        <v>20.826422616302363</v>
      </c>
      <c r="AJ11" s="47">
        <v>190389956724.23248</v>
      </c>
    </row>
    <row r="12" spans="1:36" ht="15.75" customHeight="1" x14ac:dyDescent="0.25">
      <c r="A12" s="74">
        <v>2008</v>
      </c>
      <c r="B12">
        <f xml:space="preserve"> Fig_futuro_Kaya!J12*10^6</f>
        <v>9689440807.0980015</v>
      </c>
      <c r="C12" s="52">
        <f xml:space="preserve"> Fig_historico_Kaya!K22</f>
        <v>21.631106863732253</v>
      </c>
      <c r="D12">
        <f t="shared" si="0"/>
        <v>209593329548.14496</v>
      </c>
      <c r="E12" s="85"/>
      <c r="F12" s="89">
        <v>9689440807.0980015</v>
      </c>
      <c r="G12" s="89">
        <v>21.631106863732253</v>
      </c>
      <c r="H12" s="89">
        <v>209593329548.14496</v>
      </c>
      <c r="I12" s="84"/>
      <c r="J12" s="89">
        <v>9689440807.0980015</v>
      </c>
      <c r="K12" s="89">
        <v>21.631106863732253</v>
      </c>
      <c r="L12" s="89">
        <v>209593329548.14496</v>
      </c>
      <c r="M12" s="84"/>
      <c r="N12" s="89">
        <v>9689440807.0980015</v>
      </c>
      <c r="O12">
        <v>21.631106863732253</v>
      </c>
      <c r="P12">
        <v>209593329548.14496</v>
      </c>
      <c r="Q12" s="85"/>
      <c r="R12" s="89">
        <v>9689440807.0980015</v>
      </c>
      <c r="S12" s="89">
        <v>21.631106863732253</v>
      </c>
      <c r="T12">
        <v>209593329548.14496</v>
      </c>
      <c r="U12" s="85"/>
      <c r="V12">
        <v>9689440807.0980015</v>
      </c>
      <c r="W12">
        <v>21.631106863732253</v>
      </c>
      <c r="X12">
        <v>209593329548.14496</v>
      </c>
      <c r="Y12" s="84"/>
      <c r="Z12">
        <v>9689440807.0980015</v>
      </c>
      <c r="AA12">
        <v>21.631106863732253</v>
      </c>
      <c r="AB12">
        <v>209593329548.14496</v>
      </c>
      <c r="AC12" s="84"/>
      <c r="AD12">
        <v>9689440807.0980015</v>
      </c>
      <c r="AE12">
        <v>21.631106863732253</v>
      </c>
      <c r="AF12">
        <v>209593329548.14496</v>
      </c>
      <c r="AG12" s="85"/>
      <c r="AH12">
        <v>9689440807.0980015</v>
      </c>
      <c r="AI12">
        <v>21.631106863732253</v>
      </c>
      <c r="AJ12" s="47">
        <v>209593329548.14496</v>
      </c>
    </row>
    <row r="13" spans="1:36" ht="15.75" customHeight="1" x14ac:dyDescent="0.25">
      <c r="A13" s="74">
        <v>2009</v>
      </c>
      <c r="B13">
        <f xml:space="preserve"> Fig_futuro_Kaya!J13*10^6</f>
        <v>10157627519.149</v>
      </c>
      <c r="C13" s="52">
        <f xml:space="preserve"> Fig_historico_Kaya!K23</f>
        <v>20.981136096813181</v>
      </c>
      <c r="D13">
        <f t="shared" si="0"/>
        <v>213118565400</v>
      </c>
      <c r="E13" s="85"/>
      <c r="F13" s="89">
        <v>10157627519.149</v>
      </c>
      <c r="G13" s="89">
        <v>20.981136096813181</v>
      </c>
      <c r="H13" s="89">
        <v>213118565400</v>
      </c>
      <c r="I13" s="84"/>
      <c r="J13" s="89">
        <v>10157627519.149</v>
      </c>
      <c r="K13" s="89">
        <v>20.981136096813181</v>
      </c>
      <c r="L13" s="89">
        <v>213118565400</v>
      </c>
      <c r="M13" s="84"/>
      <c r="N13" s="89">
        <v>10157627519.149</v>
      </c>
      <c r="O13">
        <v>20.981136096813181</v>
      </c>
      <c r="P13">
        <v>213118565400</v>
      </c>
      <c r="Q13" s="85"/>
      <c r="R13" s="89">
        <v>10157627519.149</v>
      </c>
      <c r="S13" s="89">
        <v>20.981136096813181</v>
      </c>
      <c r="T13">
        <v>213118565400</v>
      </c>
      <c r="U13" s="85"/>
      <c r="V13">
        <v>10157627519.149</v>
      </c>
      <c r="W13">
        <v>20.981136096813181</v>
      </c>
      <c r="X13">
        <v>213118565400</v>
      </c>
      <c r="Y13" s="84"/>
      <c r="Z13">
        <v>10157627519.149</v>
      </c>
      <c r="AA13">
        <v>20.981136096813181</v>
      </c>
      <c r="AB13">
        <v>213118565400</v>
      </c>
      <c r="AC13" s="84"/>
      <c r="AD13">
        <v>10157627519.149</v>
      </c>
      <c r="AE13">
        <v>20.981136096813181</v>
      </c>
      <c r="AF13">
        <v>213118565400</v>
      </c>
      <c r="AG13" s="85"/>
      <c r="AH13">
        <v>10157627519.149</v>
      </c>
      <c r="AI13">
        <v>20.981136096813181</v>
      </c>
      <c r="AJ13" s="47">
        <v>213118565400</v>
      </c>
    </row>
    <row r="14" spans="1:36" ht="15.75" customHeight="1" x14ac:dyDescent="0.25">
      <c r="A14" s="74">
        <v>2010</v>
      </c>
      <c r="B14">
        <f xml:space="preserve"> Fig_futuro_Kaya!J14*10^6</f>
        <v>12617404400.912001</v>
      </c>
      <c r="C14" s="52">
        <f xml:space="preserve"> Fig_historico_Kaya!K24</f>
        <v>19.38212053015193</v>
      </c>
      <c r="D14">
        <f t="shared" si="0"/>
        <v>244552052876.14581</v>
      </c>
      <c r="E14" s="85"/>
      <c r="F14" s="89">
        <v>12617404400.912001</v>
      </c>
      <c r="G14" s="89">
        <v>19.38212053015193</v>
      </c>
      <c r="H14" s="89">
        <v>244552052876.14581</v>
      </c>
      <c r="I14" s="84"/>
      <c r="J14" s="89">
        <v>12617404400.912001</v>
      </c>
      <c r="K14" s="89">
        <v>19.38212053015193</v>
      </c>
      <c r="L14" s="89">
        <v>244552052876.14581</v>
      </c>
      <c r="M14" s="84"/>
      <c r="N14" s="89">
        <v>12617404400.912001</v>
      </c>
      <c r="O14">
        <v>19.38212053015193</v>
      </c>
      <c r="P14">
        <v>244552052876.14581</v>
      </c>
      <c r="Q14" s="85"/>
      <c r="R14" s="89">
        <v>12617404400.912001</v>
      </c>
      <c r="S14" s="89">
        <v>19.38212053015193</v>
      </c>
      <c r="T14">
        <v>244552052876.14581</v>
      </c>
      <c r="U14" s="85"/>
      <c r="V14">
        <v>12617404400.912001</v>
      </c>
      <c r="W14">
        <v>19.38212053015193</v>
      </c>
      <c r="X14">
        <v>244552052876.14581</v>
      </c>
      <c r="Y14" s="84"/>
      <c r="Z14">
        <v>12617404400.912001</v>
      </c>
      <c r="AA14">
        <v>19.38212053015193</v>
      </c>
      <c r="AB14">
        <v>244552052876.14581</v>
      </c>
      <c r="AC14" s="84"/>
      <c r="AD14">
        <v>12617404400.912001</v>
      </c>
      <c r="AE14">
        <v>19.38212053015193</v>
      </c>
      <c r="AF14">
        <v>244552052876.14581</v>
      </c>
      <c r="AG14" s="85"/>
      <c r="AH14">
        <v>12617404400.912001</v>
      </c>
      <c r="AI14">
        <v>19.38212053015193</v>
      </c>
      <c r="AJ14" s="47">
        <v>244552052876.14581</v>
      </c>
    </row>
    <row r="15" spans="1:36" ht="15.75" customHeight="1" x14ac:dyDescent="0.25">
      <c r="A15" s="74">
        <v>2011</v>
      </c>
      <c r="B15">
        <f xml:space="preserve"> Fig_futuro_Kaya!J15*10^6</f>
        <v>14639939826.229998</v>
      </c>
      <c r="C15" s="52">
        <f xml:space="preserve"> Fig_historico_Kaya!K25</f>
        <v>18.55519694122497</v>
      </c>
      <c r="D15">
        <f t="shared" si="0"/>
        <v>271646966683.38046</v>
      </c>
      <c r="E15" s="85"/>
      <c r="F15" s="89">
        <v>14639939826.229998</v>
      </c>
      <c r="G15" s="89">
        <v>18.55519694122497</v>
      </c>
      <c r="H15" s="89">
        <v>271646966683.38046</v>
      </c>
      <c r="I15" s="84"/>
      <c r="J15" s="89">
        <v>14639939826.229998</v>
      </c>
      <c r="K15" s="89">
        <v>18.55519694122497</v>
      </c>
      <c r="L15" s="89">
        <v>271646966683.38046</v>
      </c>
      <c r="M15" s="84"/>
      <c r="N15" s="89">
        <v>14639939826.229998</v>
      </c>
      <c r="O15">
        <v>18.55519694122497</v>
      </c>
      <c r="P15">
        <v>271646966683.38046</v>
      </c>
      <c r="Q15" s="85"/>
      <c r="R15" s="89">
        <v>14639939826.229998</v>
      </c>
      <c r="S15" s="89">
        <v>18.55519694122497</v>
      </c>
      <c r="T15">
        <v>271646966683.38046</v>
      </c>
      <c r="U15" s="85"/>
      <c r="V15">
        <v>14639939826.229998</v>
      </c>
      <c r="W15">
        <v>18.55519694122497</v>
      </c>
      <c r="X15">
        <v>271646966683.38046</v>
      </c>
      <c r="Y15" s="84"/>
      <c r="Z15">
        <v>14639939826.229998</v>
      </c>
      <c r="AA15">
        <v>18.55519694122497</v>
      </c>
      <c r="AB15">
        <v>271646966683.38046</v>
      </c>
      <c r="AC15" s="84"/>
      <c r="AD15">
        <v>14639939826.229998</v>
      </c>
      <c r="AE15">
        <v>18.55519694122497</v>
      </c>
      <c r="AF15">
        <v>271646966683.38046</v>
      </c>
      <c r="AG15" s="85"/>
      <c r="AH15">
        <v>14639939826.229998</v>
      </c>
      <c r="AI15">
        <v>18.55519694122497</v>
      </c>
      <c r="AJ15" s="47">
        <v>271646966683.38046</v>
      </c>
    </row>
    <row r="16" spans="1:36" ht="15.75" customHeight="1" x14ac:dyDescent="0.25">
      <c r="A16" s="74">
        <v>2012</v>
      </c>
      <c r="B16">
        <f xml:space="preserve"> Fig_futuro_Kaya!J16*10^6</f>
        <v>15346298321.383001</v>
      </c>
      <c r="C16" s="52">
        <f xml:space="preserve"> Fig_historico_Kaya!K26</f>
        <v>18.566769587522401</v>
      </c>
      <c r="D16">
        <f t="shared" si="0"/>
        <v>284931184954.5</v>
      </c>
      <c r="E16" s="85"/>
      <c r="F16" s="89">
        <v>15346298321.383001</v>
      </c>
      <c r="G16" s="89">
        <v>18.566769587522401</v>
      </c>
      <c r="H16" s="89">
        <v>284931184954.5</v>
      </c>
      <c r="I16" s="84"/>
      <c r="J16" s="89">
        <v>15346298321.383001</v>
      </c>
      <c r="K16" s="89">
        <v>18.566769587522401</v>
      </c>
      <c r="L16" s="89">
        <v>284931184954.5</v>
      </c>
      <c r="M16" s="84"/>
      <c r="N16" s="89">
        <v>15346298321.383001</v>
      </c>
      <c r="O16">
        <v>18.566769587522401</v>
      </c>
      <c r="P16">
        <v>284931184954.5</v>
      </c>
      <c r="Q16" s="85"/>
      <c r="R16" s="89">
        <v>15346298321.383001</v>
      </c>
      <c r="S16" s="89">
        <v>18.566769587522401</v>
      </c>
      <c r="T16">
        <v>284931184954.5</v>
      </c>
      <c r="U16" s="85"/>
      <c r="V16">
        <v>15346298321.383001</v>
      </c>
      <c r="W16">
        <v>18.566769587522401</v>
      </c>
      <c r="X16">
        <v>284931184954.5</v>
      </c>
      <c r="Y16" s="84"/>
      <c r="Z16">
        <v>15346298321.383001</v>
      </c>
      <c r="AA16">
        <v>18.566769587522401</v>
      </c>
      <c r="AB16">
        <v>284931184954.5</v>
      </c>
      <c r="AC16" s="84"/>
      <c r="AD16">
        <v>15346298321.383001</v>
      </c>
      <c r="AE16">
        <v>18.566769587522401</v>
      </c>
      <c r="AF16">
        <v>284931184954.5</v>
      </c>
      <c r="AG16" s="85"/>
      <c r="AH16">
        <v>15346298321.383001</v>
      </c>
      <c r="AI16">
        <v>18.566769587522401</v>
      </c>
      <c r="AJ16" s="47">
        <v>284931184954.5</v>
      </c>
    </row>
    <row r="17" spans="1:36" ht="15.75" customHeight="1" x14ac:dyDescent="0.25">
      <c r="A17" s="74">
        <v>2013</v>
      </c>
      <c r="B17">
        <f xml:space="preserve"> Fig_futuro_Kaya!J17*10^6</f>
        <v>15869492021.964001</v>
      </c>
      <c r="C17" s="52">
        <f xml:space="preserve"> Fig_historico_Kaya!K27</f>
        <v>17.875713733267446</v>
      </c>
      <c r="D17">
        <f t="shared" si="0"/>
        <v>283678496477.00006</v>
      </c>
      <c r="E17" s="85"/>
      <c r="F17" s="89">
        <v>15869492021.964001</v>
      </c>
      <c r="G17" s="89">
        <v>17.875713733267446</v>
      </c>
      <c r="H17" s="89">
        <v>283678496477.00006</v>
      </c>
      <c r="I17" s="84"/>
      <c r="J17" s="89">
        <v>15869492021.964001</v>
      </c>
      <c r="K17" s="89">
        <v>17.875713733267446</v>
      </c>
      <c r="L17" s="89">
        <v>283678496477.00006</v>
      </c>
      <c r="M17" s="84"/>
      <c r="N17" s="89">
        <v>15869492021.964001</v>
      </c>
      <c r="O17">
        <v>17.875713733267446</v>
      </c>
      <c r="P17">
        <v>283678496477.00006</v>
      </c>
      <c r="Q17" s="85"/>
      <c r="R17" s="89">
        <v>15869492021.964001</v>
      </c>
      <c r="S17" s="89">
        <v>17.875713733267446</v>
      </c>
      <c r="T17">
        <v>283678496477.00006</v>
      </c>
      <c r="U17" s="85"/>
      <c r="V17">
        <v>15869492021.964001</v>
      </c>
      <c r="W17">
        <v>17.875713733267446</v>
      </c>
      <c r="X17">
        <v>283678496477.00006</v>
      </c>
      <c r="Y17" s="84"/>
      <c r="Z17">
        <v>15869492021.964001</v>
      </c>
      <c r="AA17">
        <v>17.875713733267446</v>
      </c>
      <c r="AB17">
        <v>283678496477.00006</v>
      </c>
      <c r="AC17" s="84"/>
      <c r="AD17">
        <v>15869492021.964001</v>
      </c>
      <c r="AE17">
        <v>17.875713733267446</v>
      </c>
      <c r="AF17">
        <v>283678496477.00006</v>
      </c>
      <c r="AG17" s="85"/>
      <c r="AH17">
        <v>15869492021.964001</v>
      </c>
      <c r="AI17">
        <v>17.875713733267446</v>
      </c>
      <c r="AJ17" s="47">
        <v>283678496477.00006</v>
      </c>
    </row>
    <row r="18" spans="1:36" ht="15.75" customHeight="1" x14ac:dyDescent="0.25">
      <c r="A18" s="74">
        <v>2014</v>
      </c>
      <c r="B18">
        <f xml:space="preserve"> Fig_futuro_Kaya!J18*10^6</f>
        <v>16957319391.302</v>
      </c>
      <c r="C18" s="52">
        <f xml:space="preserve"> Fig_historico_Kaya!K28</f>
        <v>17.192104021673195</v>
      </c>
      <c r="D18">
        <f t="shared" si="0"/>
        <v>291531998904</v>
      </c>
      <c r="E18" s="85"/>
      <c r="F18" s="89">
        <v>16957319391.302</v>
      </c>
      <c r="G18" s="89">
        <v>17.192104021673195</v>
      </c>
      <c r="H18" s="89">
        <v>291531998904</v>
      </c>
      <c r="I18" s="84"/>
      <c r="J18" s="89">
        <v>16957319391.302</v>
      </c>
      <c r="K18" s="89">
        <v>17.192104021673195</v>
      </c>
      <c r="L18" s="89">
        <v>291531998904</v>
      </c>
      <c r="M18" s="84"/>
      <c r="N18" s="89">
        <v>16957319391.302</v>
      </c>
      <c r="O18">
        <v>17.192104021673195</v>
      </c>
      <c r="P18">
        <v>291531998904</v>
      </c>
      <c r="Q18" s="85"/>
      <c r="R18" s="89">
        <v>16957319391.302</v>
      </c>
      <c r="S18" s="89">
        <v>17.192104021673195</v>
      </c>
      <c r="T18">
        <v>291531998904</v>
      </c>
      <c r="U18" s="85"/>
      <c r="V18">
        <v>16957319391.302</v>
      </c>
      <c r="W18">
        <v>17.192104021673195</v>
      </c>
      <c r="X18">
        <v>291531998904</v>
      </c>
      <c r="Y18" s="84"/>
      <c r="Z18">
        <v>16957319391.302</v>
      </c>
      <c r="AA18">
        <v>17.192104021673195</v>
      </c>
      <c r="AB18">
        <v>291531998904</v>
      </c>
      <c r="AC18" s="84"/>
      <c r="AD18">
        <v>16957319391.302</v>
      </c>
      <c r="AE18">
        <v>17.192104021673195</v>
      </c>
      <c r="AF18">
        <v>291531998904</v>
      </c>
      <c r="AG18" s="85"/>
      <c r="AH18">
        <v>16957319391.302</v>
      </c>
      <c r="AI18">
        <v>17.192104021673195</v>
      </c>
      <c r="AJ18" s="47">
        <v>291531998904</v>
      </c>
    </row>
    <row r="19" spans="1:36" ht="15.75" customHeight="1" x14ac:dyDescent="0.25">
      <c r="A19" s="74">
        <v>2015</v>
      </c>
      <c r="B19">
        <f xml:space="preserve"> Fig_futuro_Kaya!J19*10^6</f>
        <v>17036120056.485001</v>
      </c>
      <c r="C19" s="52">
        <f xml:space="preserve"> Fig_historico_Kaya!K29</f>
        <v>16.575707500711399</v>
      </c>
      <c r="D19">
        <f t="shared" si="0"/>
        <v>282385743003.29834</v>
      </c>
      <c r="E19" s="85"/>
      <c r="F19" s="89">
        <v>17036120056.485001</v>
      </c>
      <c r="G19" s="89">
        <v>16.575707500711399</v>
      </c>
      <c r="H19" s="89">
        <v>282385743003.29834</v>
      </c>
      <c r="I19" s="84"/>
      <c r="J19" s="89">
        <v>17036120056.485001</v>
      </c>
      <c r="K19" s="89">
        <v>16.575707500711399</v>
      </c>
      <c r="L19" s="89">
        <v>282385743003.29834</v>
      </c>
      <c r="M19" s="84"/>
      <c r="N19" s="89">
        <v>17036120056.485001</v>
      </c>
      <c r="O19">
        <v>16.575707500711399</v>
      </c>
      <c r="P19">
        <v>282385743003.29834</v>
      </c>
      <c r="Q19" s="85"/>
      <c r="R19" s="89">
        <v>17036120056.485001</v>
      </c>
      <c r="S19" s="89">
        <v>16.575707500711399</v>
      </c>
      <c r="T19">
        <v>282385743003.29834</v>
      </c>
      <c r="U19" s="85"/>
      <c r="V19">
        <v>17036120056.485001</v>
      </c>
      <c r="W19">
        <v>16.575707500711399</v>
      </c>
      <c r="X19">
        <v>282385743003.29834</v>
      </c>
      <c r="Y19" s="84"/>
      <c r="Z19">
        <v>17036120056.485001</v>
      </c>
      <c r="AA19">
        <v>16.575707500711399</v>
      </c>
      <c r="AB19">
        <v>282385743003.29834</v>
      </c>
      <c r="AC19" s="84"/>
      <c r="AD19">
        <v>17036120056.485001</v>
      </c>
      <c r="AE19">
        <v>16.575707500711399</v>
      </c>
      <c r="AF19">
        <v>282385743003.29834</v>
      </c>
      <c r="AG19" s="85"/>
      <c r="AH19">
        <v>17036120056.485001</v>
      </c>
      <c r="AI19">
        <v>16.575707500711399</v>
      </c>
      <c r="AJ19" s="47">
        <v>282385743003.29834</v>
      </c>
    </row>
    <row r="20" spans="1:36" ht="15.75" customHeight="1" x14ac:dyDescent="0.25">
      <c r="A20" s="74">
        <v>2016</v>
      </c>
      <c r="B20">
        <f xml:space="preserve"> Fig_futuro_Kaya!J20*10^6</f>
        <v>16333292303.236998</v>
      </c>
      <c r="C20" s="52">
        <f xml:space="preserve"> Fig_historico_Kaya!K30</f>
        <v>16.189969992583379</v>
      </c>
      <c r="D20">
        <f t="shared" si="0"/>
        <v>264435512269.50006</v>
      </c>
      <c r="E20" s="85"/>
      <c r="F20" s="89">
        <v>16333292303.236998</v>
      </c>
      <c r="G20" s="89">
        <v>16.189969992583379</v>
      </c>
      <c r="H20" s="89">
        <v>264435512269.50006</v>
      </c>
      <c r="I20" s="84"/>
      <c r="J20" s="89">
        <v>16333292303.236998</v>
      </c>
      <c r="K20" s="89">
        <v>16.189969992583379</v>
      </c>
      <c r="L20" s="89">
        <v>264435512269.50006</v>
      </c>
      <c r="M20" s="84"/>
      <c r="N20" s="89">
        <v>16333292303.236998</v>
      </c>
      <c r="O20">
        <v>16.189969992583379</v>
      </c>
      <c r="P20">
        <v>264435512269.50006</v>
      </c>
      <c r="Q20" s="85"/>
      <c r="R20" s="89">
        <v>16333292303.236998</v>
      </c>
      <c r="S20" s="89">
        <v>16.189969992583379</v>
      </c>
      <c r="T20">
        <v>264435512269.50006</v>
      </c>
      <c r="U20" s="85"/>
      <c r="V20">
        <v>16333292303.236998</v>
      </c>
      <c r="W20">
        <v>16.189969992583379</v>
      </c>
      <c r="X20">
        <v>264435512269.50006</v>
      </c>
      <c r="Y20" s="84"/>
      <c r="Z20">
        <v>16333292303.236998</v>
      </c>
      <c r="AA20">
        <v>16.189969992583379</v>
      </c>
      <c r="AB20">
        <v>264435512269.50006</v>
      </c>
      <c r="AC20" s="84"/>
      <c r="AD20">
        <v>16333292303.236998</v>
      </c>
      <c r="AE20">
        <v>16.189969992583379</v>
      </c>
      <c r="AF20">
        <v>264435512269.50006</v>
      </c>
      <c r="AG20" s="85"/>
      <c r="AH20">
        <v>16333292303.236998</v>
      </c>
      <c r="AI20">
        <v>16.189969992583379</v>
      </c>
      <c r="AJ20" s="47">
        <v>264435512269.50006</v>
      </c>
    </row>
    <row r="21" spans="1:36" ht="15.75" customHeight="1" x14ac:dyDescent="0.25">
      <c r="A21" s="74">
        <v>2017</v>
      </c>
      <c r="B21">
        <f xml:space="preserve"> Fig_futuro_Kaya!J21*10^6</f>
        <v>16857062678.297997</v>
      </c>
      <c r="C21" s="52">
        <f xml:space="preserve"> Fig_historico_Kaya!K31</f>
        <v>15.45628273693449</v>
      </c>
      <c r="D21">
        <f t="shared" si="0"/>
        <v>260547526870</v>
      </c>
      <c r="E21" s="85"/>
      <c r="F21" s="89">
        <v>16857062678.297997</v>
      </c>
      <c r="G21" s="89">
        <v>15.45628273693449</v>
      </c>
      <c r="H21" s="89">
        <v>260547526870</v>
      </c>
      <c r="I21" s="84"/>
      <c r="J21" s="89">
        <v>16857062678.297997</v>
      </c>
      <c r="K21" s="89">
        <v>15.45628273693449</v>
      </c>
      <c r="L21" s="89">
        <v>260547526870</v>
      </c>
      <c r="M21" s="84"/>
      <c r="N21" s="89">
        <v>16857062678.297997</v>
      </c>
      <c r="O21">
        <v>15.45628273693449</v>
      </c>
      <c r="P21">
        <v>260547526870</v>
      </c>
      <c r="Q21" s="85"/>
      <c r="R21" s="89">
        <v>16857062678.297997</v>
      </c>
      <c r="S21" s="89">
        <v>15.45628273693449</v>
      </c>
      <c r="T21">
        <v>260547526870</v>
      </c>
      <c r="U21" s="85"/>
      <c r="V21">
        <v>16857062678.297997</v>
      </c>
      <c r="W21">
        <v>15.45628273693449</v>
      </c>
      <c r="X21">
        <v>260547526870</v>
      </c>
      <c r="Y21" s="84"/>
      <c r="Z21">
        <v>16857062678.297997</v>
      </c>
      <c r="AA21">
        <v>15.45628273693449</v>
      </c>
      <c r="AB21">
        <v>260547526870</v>
      </c>
      <c r="AC21" s="84"/>
      <c r="AD21">
        <v>16857062678.297997</v>
      </c>
      <c r="AE21">
        <v>15.45628273693449</v>
      </c>
      <c r="AF21">
        <v>260547526870</v>
      </c>
      <c r="AG21" s="85"/>
      <c r="AH21">
        <v>16857062678.297997</v>
      </c>
      <c r="AI21">
        <v>15.45628273693449</v>
      </c>
      <c r="AJ21" s="47">
        <v>260547526870</v>
      </c>
    </row>
    <row r="22" spans="1:36" ht="15.75" customHeight="1" x14ac:dyDescent="0.25">
      <c r="A22" s="74">
        <v>2018</v>
      </c>
      <c r="B22">
        <f xml:space="preserve"> Fig_futuro_Kaya!J22*10^6</f>
        <v>18405736452.665001</v>
      </c>
      <c r="C22" s="52">
        <f xml:space="preserve"> Fig_historico_Kaya!K32</f>
        <v>15.149716147876603</v>
      </c>
      <c r="D22">
        <f t="shared" si="0"/>
        <v>278841682750.5</v>
      </c>
      <c r="E22" s="85"/>
      <c r="F22" s="89">
        <v>18405736452.665001</v>
      </c>
      <c r="G22" s="89">
        <v>15.149716147876603</v>
      </c>
      <c r="H22" s="89">
        <v>278841682750.5</v>
      </c>
      <c r="I22" s="84"/>
      <c r="J22" s="89">
        <v>18405736452.665001</v>
      </c>
      <c r="K22" s="89">
        <v>15.149716147876603</v>
      </c>
      <c r="L22" s="89">
        <v>278841682750.5</v>
      </c>
      <c r="M22" s="84"/>
      <c r="N22" s="89">
        <v>18405736452.665001</v>
      </c>
      <c r="O22">
        <v>15.149716147876603</v>
      </c>
      <c r="P22">
        <v>278841682750.5</v>
      </c>
      <c r="Q22" s="85"/>
      <c r="R22" s="89">
        <v>18405736452.665001</v>
      </c>
      <c r="S22" s="89">
        <v>15.149716147876603</v>
      </c>
      <c r="T22">
        <v>278841682750.5</v>
      </c>
      <c r="U22" s="85"/>
      <c r="V22">
        <v>18405736452.665001</v>
      </c>
      <c r="W22">
        <v>15.149716147876603</v>
      </c>
      <c r="X22">
        <v>278841682750.5</v>
      </c>
      <c r="Y22" s="84"/>
      <c r="Z22">
        <v>18405736452.665001</v>
      </c>
      <c r="AA22">
        <v>15.149716147876603</v>
      </c>
      <c r="AB22">
        <v>278841682750.5</v>
      </c>
      <c r="AC22" s="84"/>
      <c r="AD22">
        <v>18405736452.665001</v>
      </c>
      <c r="AE22">
        <v>15.149716147876603</v>
      </c>
      <c r="AF22">
        <v>278841682750.5</v>
      </c>
      <c r="AG22" s="85"/>
      <c r="AH22">
        <v>18405736452.665001</v>
      </c>
      <c r="AI22">
        <v>15.149716147876603</v>
      </c>
      <c r="AJ22" s="47">
        <v>278841682750.5</v>
      </c>
    </row>
    <row r="23" spans="1:36" s="121" customFormat="1" ht="15.75" customHeight="1" x14ac:dyDescent="0.25">
      <c r="A23" s="120">
        <v>2019</v>
      </c>
      <c r="B23" s="121">
        <f xml:space="preserve"> Fig_futuro_Kaya!J23*10^6</f>
        <v>18167924061.028</v>
      </c>
      <c r="C23" s="122">
        <f xml:space="preserve"> Fig_historico_Kaya!K33</f>
        <v>14.955053322070425</v>
      </c>
      <c r="D23" s="121">
        <f t="shared" si="0"/>
        <v>271702273084</v>
      </c>
      <c r="E23" s="123"/>
      <c r="F23" s="124">
        <v>18167924061.028</v>
      </c>
      <c r="G23" s="124">
        <v>14.955053322070425</v>
      </c>
      <c r="H23" s="124">
        <v>271702273084</v>
      </c>
      <c r="I23" s="125"/>
      <c r="J23" s="124">
        <v>18167924061.028</v>
      </c>
      <c r="K23" s="124">
        <v>14.955053322070425</v>
      </c>
      <c r="L23" s="124">
        <v>271702273084</v>
      </c>
      <c r="M23" s="125"/>
      <c r="N23" s="124">
        <v>18167924061.028</v>
      </c>
      <c r="O23" s="121">
        <v>14.955053322070425</v>
      </c>
      <c r="P23" s="121">
        <v>271702273084</v>
      </c>
      <c r="Q23" s="123"/>
      <c r="R23" s="124">
        <v>18167924061.028</v>
      </c>
      <c r="S23" s="124">
        <v>14.955053322070425</v>
      </c>
      <c r="T23" s="121">
        <v>271702273084</v>
      </c>
      <c r="U23" s="123"/>
      <c r="V23" s="121">
        <v>18167924061.028</v>
      </c>
      <c r="W23" s="121">
        <v>14.955053322070425</v>
      </c>
      <c r="X23" s="121">
        <v>271702273084</v>
      </c>
      <c r="Y23" s="125"/>
      <c r="Z23" s="121">
        <v>18167924061.028</v>
      </c>
      <c r="AA23" s="121">
        <v>14.955053322070425</v>
      </c>
      <c r="AB23" s="121">
        <v>271702273084</v>
      </c>
      <c r="AC23" s="125"/>
      <c r="AD23" s="121">
        <v>18167924061.028</v>
      </c>
      <c r="AE23" s="121">
        <v>14.955053322070425</v>
      </c>
      <c r="AF23" s="121">
        <v>271702273084</v>
      </c>
      <c r="AG23" s="123"/>
      <c r="AH23" s="121">
        <v>18167924061.028</v>
      </c>
      <c r="AI23" s="121">
        <v>14.955053322070425</v>
      </c>
      <c r="AJ23" s="126">
        <v>271702273084</v>
      </c>
    </row>
    <row r="24" spans="1:36" ht="15.75" customHeight="1" x14ac:dyDescent="0.25">
      <c r="A24" s="74">
        <v>2020</v>
      </c>
      <c r="B24">
        <f xml:space="preserve"> Fig_futuro_Kaya!J24*10^6</f>
        <v>8664448114.6819992</v>
      </c>
      <c r="C24" s="52">
        <f xml:space="preserve"> Fig_historico_Kaya!K34</f>
        <v>15.928959025806968</v>
      </c>
      <c r="D24">
        <f t="shared" si="0"/>
        <v>138015639000</v>
      </c>
      <c r="E24" s="85"/>
      <c r="F24" s="89">
        <v>8664448114.6819992</v>
      </c>
      <c r="G24" s="89">
        <v>15.928959025806968</v>
      </c>
      <c r="H24" s="89">
        <v>138015639000</v>
      </c>
      <c r="I24" s="84"/>
      <c r="J24" s="89">
        <v>8664448114.6819992</v>
      </c>
      <c r="K24" s="89">
        <v>15.928959025806968</v>
      </c>
      <c r="L24" s="89">
        <v>138015639000</v>
      </c>
      <c r="M24" s="84"/>
      <c r="N24" s="89">
        <v>8664448114.6819992</v>
      </c>
      <c r="O24">
        <v>15.928959025806968</v>
      </c>
      <c r="P24">
        <v>138015639000</v>
      </c>
      <c r="Q24" s="85"/>
      <c r="R24" s="89">
        <v>8664448114.6819992</v>
      </c>
      <c r="S24" s="89">
        <v>15.928959025806968</v>
      </c>
      <c r="T24">
        <v>138015639000</v>
      </c>
      <c r="U24" s="85"/>
      <c r="V24">
        <v>8664448114.6819992</v>
      </c>
      <c r="W24">
        <v>15.928959025806968</v>
      </c>
      <c r="X24">
        <v>138015639000</v>
      </c>
      <c r="Y24" s="84"/>
      <c r="Z24">
        <v>8664448114.6819992</v>
      </c>
      <c r="AA24">
        <v>15.928959025806968</v>
      </c>
      <c r="AB24">
        <v>138015639000</v>
      </c>
      <c r="AC24" s="84"/>
      <c r="AD24">
        <v>8664448114.6819992</v>
      </c>
      <c r="AE24">
        <v>15.928959025806968</v>
      </c>
      <c r="AF24">
        <v>138015639000</v>
      </c>
      <c r="AG24" s="85"/>
      <c r="AH24">
        <v>8664448114.6819992</v>
      </c>
      <c r="AI24">
        <v>15.928959025806968</v>
      </c>
      <c r="AJ24" s="47">
        <v>138015639000</v>
      </c>
    </row>
    <row r="25" spans="1:36" ht="15.75" customHeight="1" x14ac:dyDescent="0.25">
      <c r="A25" s="74">
        <v>2021</v>
      </c>
      <c r="B25">
        <f xml:space="preserve"> Fig_futuro_Kaya!J25*10^6</f>
        <v>11147616557.292</v>
      </c>
      <c r="C25" s="52">
        <f xml:space="preserve"> Fig_historico_Kaya!K35</f>
        <v>15.310341228534362</v>
      </c>
      <c r="D25">
        <f t="shared" si="0"/>
        <v>170673813377</v>
      </c>
      <c r="E25" s="85"/>
      <c r="F25" s="89">
        <v>11147616557.292</v>
      </c>
      <c r="G25" s="89">
        <v>15.310341228534362</v>
      </c>
      <c r="H25" s="89">
        <v>170673813377</v>
      </c>
      <c r="I25" s="84"/>
      <c r="J25" s="89">
        <v>11147616557.292</v>
      </c>
      <c r="K25" s="89">
        <v>15.310341228534362</v>
      </c>
      <c r="L25" s="89">
        <v>170673813377</v>
      </c>
      <c r="M25" s="84"/>
      <c r="N25" s="89">
        <v>11147616557.292</v>
      </c>
      <c r="O25">
        <v>15.310341228534362</v>
      </c>
      <c r="P25">
        <v>170673813377</v>
      </c>
      <c r="Q25" s="85"/>
      <c r="R25" s="89">
        <v>11147616557.292</v>
      </c>
      <c r="S25" s="89">
        <v>15.310341228534362</v>
      </c>
      <c r="T25">
        <v>170673813377</v>
      </c>
      <c r="U25" s="85"/>
      <c r="V25">
        <v>11147616557.292</v>
      </c>
      <c r="W25">
        <v>15.310341228534362</v>
      </c>
      <c r="X25">
        <v>170673813377</v>
      </c>
      <c r="Y25" s="84"/>
      <c r="Z25">
        <v>11147616557.292</v>
      </c>
      <c r="AA25">
        <v>15.310341228534362</v>
      </c>
      <c r="AB25">
        <v>170673813377</v>
      </c>
      <c r="AC25" s="84"/>
      <c r="AD25">
        <v>11147616557.292</v>
      </c>
      <c r="AE25">
        <v>15.310341228534362</v>
      </c>
      <c r="AF25">
        <v>170673813377</v>
      </c>
      <c r="AG25" s="85"/>
      <c r="AH25">
        <v>11147616557.292</v>
      </c>
      <c r="AI25">
        <v>15.310341228534362</v>
      </c>
      <c r="AJ25" s="47">
        <v>170673813377</v>
      </c>
    </row>
    <row r="26" spans="1:36" ht="15.75" customHeight="1" x14ac:dyDescent="0.25">
      <c r="A26" s="74">
        <v>2022</v>
      </c>
      <c r="B26">
        <f xml:space="preserve"> Fig_futuro_Kaya!J26*10^6</f>
        <v>15869689067.209</v>
      </c>
      <c r="C26" s="52">
        <f xml:space="preserve"> Fig_historico_Kaya!K36</f>
        <v>14.706149427046395</v>
      </c>
      <c r="D26">
        <f t="shared" si="0"/>
        <v>233382018783.14008</v>
      </c>
      <c r="E26" s="85"/>
      <c r="F26" s="89">
        <v>15869689067.209</v>
      </c>
      <c r="G26" s="89">
        <v>14.706149427046395</v>
      </c>
      <c r="H26" s="89">
        <v>233382018783.14008</v>
      </c>
      <c r="I26" s="84"/>
      <c r="J26" s="89">
        <v>15869689067.209</v>
      </c>
      <c r="K26" s="89">
        <v>14.706149427046395</v>
      </c>
      <c r="L26" s="89">
        <v>233382018783.14008</v>
      </c>
      <c r="M26" s="84"/>
      <c r="N26" s="89">
        <v>15869689067.209</v>
      </c>
      <c r="O26">
        <v>14.706149427046395</v>
      </c>
      <c r="P26">
        <v>233382018783.14008</v>
      </c>
      <c r="Q26" s="85"/>
      <c r="R26" s="89">
        <v>15869689067.209</v>
      </c>
      <c r="S26" s="89">
        <v>14.706149427046395</v>
      </c>
      <c r="T26">
        <v>233382018783.14008</v>
      </c>
      <c r="U26" s="85"/>
      <c r="V26">
        <v>15869689067.209</v>
      </c>
      <c r="W26">
        <v>14.706149427046395</v>
      </c>
      <c r="X26">
        <v>233382018783.14008</v>
      </c>
      <c r="Y26" s="84"/>
      <c r="Z26">
        <v>15869689067.209</v>
      </c>
      <c r="AA26">
        <v>14.706149427046395</v>
      </c>
      <c r="AB26">
        <v>233382018783.14008</v>
      </c>
      <c r="AC26" s="84"/>
      <c r="AD26">
        <v>15869689067.209</v>
      </c>
      <c r="AE26">
        <v>14.706149427046395</v>
      </c>
      <c r="AF26">
        <v>233382018783.14008</v>
      </c>
      <c r="AG26" s="85"/>
      <c r="AH26">
        <v>15869689067.209</v>
      </c>
      <c r="AI26">
        <v>14.706149427046395</v>
      </c>
      <c r="AJ26" s="47">
        <v>233382018783.14008</v>
      </c>
    </row>
    <row r="27" spans="1:36" ht="15.75" customHeight="1" x14ac:dyDescent="0.25">
      <c r="A27" s="75">
        <v>2023</v>
      </c>
      <c r="B27" s="91">
        <f xml:space="preserve"> Fig_futuro_Kaya!J27*10^6</f>
        <v>17656223242.218998</v>
      </c>
      <c r="C27" s="58">
        <f xml:space="preserve"> Fig_historico_Kaya!K37</f>
        <v>14.812096445987896</v>
      </c>
      <c r="D27" s="91">
        <f t="shared" si="0"/>
        <v>261525681535.6409</v>
      </c>
      <c r="E27" s="92"/>
      <c r="F27" s="93">
        <v>17656223242.218998</v>
      </c>
      <c r="G27" s="93">
        <v>14.812096445987896</v>
      </c>
      <c r="H27" s="93">
        <v>261525681535.6409</v>
      </c>
      <c r="I27" s="94"/>
      <c r="J27" s="93">
        <v>17656223242.218998</v>
      </c>
      <c r="K27" s="93">
        <v>14.812096445987896</v>
      </c>
      <c r="L27" s="93">
        <v>261525681535.6409</v>
      </c>
      <c r="M27" s="94"/>
      <c r="N27" s="93">
        <v>17656223242.218998</v>
      </c>
      <c r="O27" s="91">
        <v>14.812096445987896</v>
      </c>
      <c r="P27" s="91">
        <v>261525681535.6409</v>
      </c>
      <c r="Q27" s="92"/>
      <c r="R27" s="93">
        <v>17656223242.218998</v>
      </c>
      <c r="S27" s="93">
        <v>14.812096445987896</v>
      </c>
      <c r="T27" s="91">
        <v>261525681535.6409</v>
      </c>
      <c r="U27" s="92"/>
      <c r="V27" s="91">
        <v>17656223242.218998</v>
      </c>
      <c r="W27" s="91">
        <v>14.812096445987896</v>
      </c>
      <c r="X27" s="91">
        <v>261525681535.6409</v>
      </c>
      <c r="Y27" s="94"/>
      <c r="Z27" s="91">
        <v>17656223242.218998</v>
      </c>
      <c r="AA27" s="91">
        <v>14.812096445987896</v>
      </c>
      <c r="AB27" s="91">
        <v>261525681535.6409</v>
      </c>
      <c r="AC27" s="94"/>
      <c r="AD27" s="91">
        <v>17656223242.218998</v>
      </c>
      <c r="AE27" s="91">
        <v>14.812096445987896</v>
      </c>
      <c r="AF27" s="91">
        <v>261525681535.6409</v>
      </c>
      <c r="AG27" s="92"/>
      <c r="AH27" s="91">
        <v>17656223242.218998</v>
      </c>
      <c r="AI27" s="91">
        <v>14.812096445987896</v>
      </c>
      <c r="AJ27" s="99">
        <v>261525681535.6409</v>
      </c>
    </row>
    <row r="28" spans="1:36" ht="15.75" x14ac:dyDescent="0.25">
      <c r="A28" s="76">
        <v>2024</v>
      </c>
      <c r="B28" s="83">
        <f xml:space="preserve"> Fig_futuro_Kaya!J28*10^6</f>
        <v>18167924061.028</v>
      </c>
      <c r="C28" s="82">
        <f>Fig_futuro_Kaya!Q28</f>
        <v>14.669900320106411</v>
      </c>
      <c r="D28" s="83">
        <f t="shared" si="0"/>
        <v>266521634998.54361</v>
      </c>
      <c r="E28" s="84"/>
      <c r="F28">
        <f>Fig_futuro_Kaya!J28*10^6</f>
        <v>18167924061.028</v>
      </c>
      <c r="G28">
        <f xml:space="preserve"> Fig_futuro_Kaya!R28</f>
        <v>14.66342688536335</v>
      </c>
      <c r="H28">
        <f>F28*G28</f>
        <v>266404026127.71768</v>
      </c>
      <c r="I28" s="84"/>
      <c r="J28">
        <f xml:space="preserve"> Fig_futuro_Kaya!J28*10^6</f>
        <v>18167924061.028</v>
      </c>
      <c r="K28">
        <f xml:space="preserve"> Fig_futuro_Kaya!S28</f>
        <v>14.625025153836715</v>
      </c>
      <c r="L28">
        <f xml:space="preserve"> J28*K28</f>
        <v>265706346385.52979</v>
      </c>
      <c r="M28" s="84"/>
      <c r="N28">
        <f xml:space="preserve"> Fig_futuro_Kaya!K28*10^6</f>
        <v>18167924061.028</v>
      </c>
      <c r="O28">
        <f xml:space="preserve"> Fig_futuro_Kaya!Q28</f>
        <v>14.669900320106411</v>
      </c>
      <c r="P28">
        <f xml:space="preserve"> N28*O28</f>
        <v>266521634998.54361</v>
      </c>
      <c r="Q28" s="84"/>
      <c r="R28">
        <f xml:space="preserve"> Fig_futuro_Kaya!K28*10^6</f>
        <v>18167924061.028</v>
      </c>
      <c r="S28">
        <f xml:space="preserve"> Fig_futuro_Kaya!R28</f>
        <v>14.66342688536335</v>
      </c>
      <c r="T28">
        <f xml:space="preserve"> R28*S28</f>
        <v>266404026127.71768</v>
      </c>
      <c r="U28" s="84"/>
      <c r="V28">
        <f xml:space="preserve"> Fig_futuro_Kaya!K28*10^6</f>
        <v>18167924061.028</v>
      </c>
      <c r="W28">
        <f xml:space="preserve"> Fig_futuro_Kaya!S28</f>
        <v>14.625025153836715</v>
      </c>
      <c r="X28">
        <f xml:space="preserve"> V28*W28</f>
        <v>265706346385.52979</v>
      </c>
      <c r="Y28" s="84"/>
      <c r="Z28">
        <f xml:space="preserve"> Fig_futuro_Kaya!L28*10^6</f>
        <v>18167924061.028</v>
      </c>
      <c r="AA28">
        <f xml:space="preserve"> Fig_futuro_Kaya!Q28</f>
        <v>14.669900320106411</v>
      </c>
      <c r="AB28">
        <f xml:space="preserve"> Z28*AA28</f>
        <v>266521634998.54361</v>
      </c>
      <c r="AC28" s="84"/>
      <c r="AD28">
        <f xml:space="preserve"> Fig_futuro_Kaya!L28*10^6</f>
        <v>18167924061.028</v>
      </c>
      <c r="AE28">
        <f xml:space="preserve"> Fig_futuro_Kaya!R28</f>
        <v>14.66342688536335</v>
      </c>
      <c r="AF28">
        <f xml:space="preserve"> AD28*AE28</f>
        <v>266404026127.71768</v>
      </c>
      <c r="AG28" s="85"/>
      <c r="AH28">
        <f xml:space="preserve"> Fig_futuro_Kaya!L28*10^6</f>
        <v>18167924061.028</v>
      </c>
      <c r="AI28">
        <f>Fig_futuro_Kaya!S28</f>
        <v>14.625025153836715</v>
      </c>
      <c r="AJ28" s="47">
        <f>AH28*AI28</f>
        <v>265706346385.52979</v>
      </c>
    </row>
    <row r="29" spans="1:36" ht="15.75" x14ac:dyDescent="0.25">
      <c r="A29" s="76">
        <v>2025</v>
      </c>
      <c r="B29" s="83">
        <f xml:space="preserve"> Fig_futuro_Kaya!J29*10^6</f>
        <v>18557459059.453281</v>
      </c>
      <c r="C29" s="82">
        <f>Fig_futuro_Kaya!Q29</f>
        <v>14.529069277033388</v>
      </c>
      <c r="D29" s="83">
        <f t="shared" ref="D29:D54" si="1" xml:space="preserve"> B29*C29</f>
        <v>269622608280.5076</v>
      </c>
      <c r="E29" s="84"/>
      <c r="F29">
        <f>Fig_futuro_Kaya!J29*10^6</f>
        <v>18557459059.453281</v>
      </c>
      <c r="G29">
        <f xml:space="preserve"> Fig_futuro_Kaya!R29</f>
        <v>14.514757324738804</v>
      </c>
      <c r="H29">
        <f t="shared" ref="H29:H54" si="2">F29*G29</f>
        <v>269357014811.73999</v>
      </c>
      <c r="I29" s="84"/>
      <c r="J29">
        <f xml:space="preserve"> Fig_futuro_Kaya!J29*10^6</f>
        <v>18557459059.453281</v>
      </c>
      <c r="K29">
        <f xml:space="preserve"> Fig_futuro_Kaya!S29</f>
        <v>14.437953861685534</v>
      </c>
      <c r="L29">
        <f t="shared" ref="L29:L54" si="3" xml:space="preserve"> J29*K29</f>
        <v>267931737690.5047</v>
      </c>
      <c r="M29" s="84"/>
      <c r="N29">
        <f xml:space="preserve"> Fig_futuro_Kaya!K29*10^6</f>
        <v>18463436300.075123</v>
      </c>
      <c r="O29">
        <f xml:space="preserve"> Fig_futuro_Kaya!Q29</f>
        <v>14.529069277033388</v>
      </c>
      <c r="P29">
        <f t="shared" ref="P29:P54" si="4" xml:space="preserve"> N29*O29</f>
        <v>268256545095.88449</v>
      </c>
      <c r="Q29" s="84"/>
      <c r="R29">
        <f xml:space="preserve"> Fig_futuro_Kaya!K29*10^6</f>
        <v>18463436300.075123</v>
      </c>
      <c r="S29">
        <f xml:space="preserve"> Fig_futuro_Kaya!R29</f>
        <v>14.514757324738804</v>
      </c>
      <c r="T29">
        <f t="shared" ref="T29:T54" si="5" xml:space="preserve"> R29*S29</f>
        <v>267992297276.36371</v>
      </c>
      <c r="U29" s="84"/>
      <c r="V29">
        <f xml:space="preserve"> Fig_futuro_Kaya!K29*10^6</f>
        <v>18463436300.075123</v>
      </c>
      <c r="W29">
        <f xml:space="preserve"> Fig_futuro_Kaya!S29</f>
        <v>14.437953861685534</v>
      </c>
      <c r="X29">
        <f t="shared" ref="X29:X54" si="6" xml:space="preserve"> V29*W29</f>
        <v>266574241428.65448</v>
      </c>
      <c r="Y29" s="84"/>
      <c r="Z29">
        <f xml:space="preserve"> Fig_futuro_Kaya!L29*10^6</f>
        <v>18718910454.457516</v>
      </c>
      <c r="AA29">
        <f xml:space="preserve"> Fig_futuro_Kaya!Q29</f>
        <v>14.529069277033388</v>
      </c>
      <c r="AB29">
        <f xml:space="preserve"> Z29*AA29</f>
        <v>271968346783.3978</v>
      </c>
      <c r="AC29" s="84"/>
      <c r="AD29">
        <f xml:space="preserve"> Fig_futuro_Kaya!L29*10^6</f>
        <v>18718910454.457516</v>
      </c>
      <c r="AE29">
        <f xml:space="preserve"> Fig_futuro_Kaya!R29</f>
        <v>14.514757324738804</v>
      </c>
      <c r="AF29">
        <f t="shared" ref="AF29:AF54" si="7" xml:space="preserve"> AD29*AE29</f>
        <v>271700442629.96701</v>
      </c>
      <c r="AG29" s="85"/>
      <c r="AH29">
        <f xml:space="preserve"> Fig_futuro_Kaya!L29*10^6</f>
        <v>18718910454.457516</v>
      </c>
      <c r="AI29">
        <f>Fig_futuro_Kaya!S29</f>
        <v>14.437953861685534</v>
      </c>
      <c r="AJ29" s="47">
        <f t="shared" ref="AJ29:AJ54" si="8">AH29*AI29</f>
        <v>270262765482.48059</v>
      </c>
    </row>
    <row r="30" spans="1:36" ht="15.75" x14ac:dyDescent="0.25">
      <c r="A30" s="76">
        <v>2026</v>
      </c>
      <c r="B30" s="83">
        <f xml:space="preserve"> Fig_futuro_Kaya!J30*10^6</f>
        <v>18955346003.5653</v>
      </c>
      <c r="C30" s="82">
        <f>Fig_futuro_Kaya!Q30</f>
        <v>14.389590211973866</v>
      </c>
      <c r="D30" s="83">
        <f t="shared" si="1"/>
        <v>272759661317.48117</v>
      </c>
      <c r="E30" s="84"/>
      <c r="F30">
        <f>Fig_futuro_Kaya!J30*10^6</f>
        <v>18955346003.5653</v>
      </c>
      <c r="G30">
        <f xml:space="preserve"> Fig_futuro_Kaya!R30</f>
        <v>14.366087764114258</v>
      </c>
      <c r="H30">
        <f t="shared" si="2"/>
        <v>272314164286.37155</v>
      </c>
      <c r="I30" s="84"/>
      <c r="J30">
        <f xml:space="preserve"> Fig_futuro_Kaya!J30*10^6</f>
        <v>18955346003.5653</v>
      </c>
      <c r="K30">
        <f xml:space="preserve"> Fig_futuro_Kaya!S30</f>
        <v>14.250882569534353</v>
      </c>
      <c r="L30">
        <f t="shared" si="3"/>
        <v>270130409961.70139</v>
      </c>
      <c r="M30" s="84"/>
      <c r="N30">
        <f xml:space="preserve"> Fig_futuro_Kaya!K30*10^6</f>
        <v>18763755223.866924</v>
      </c>
      <c r="O30">
        <f xml:space="preserve"> Fig_futuro_Kaya!Q30</f>
        <v>14.389590211973866</v>
      </c>
      <c r="P30">
        <f t="shared" si="4"/>
        <v>270002748509.229</v>
      </c>
      <c r="Q30" s="84"/>
      <c r="R30">
        <f xml:space="preserve"> Fig_futuro_Kaya!K30*10^6</f>
        <v>18763755223.866924</v>
      </c>
      <c r="S30">
        <f xml:space="preserve"> Fig_futuro_Kaya!R30</f>
        <v>14.366087764114258</v>
      </c>
      <c r="T30">
        <f t="shared" si="5"/>
        <v>269561754330.42963</v>
      </c>
      <c r="U30" s="84"/>
      <c r="V30">
        <f xml:space="preserve"> Fig_futuro_Kaya!K30*10^6</f>
        <v>18763755223.866924</v>
      </c>
      <c r="W30">
        <f xml:space="preserve"> Fig_futuro_Kaya!S30</f>
        <v>14.250882569534353</v>
      </c>
      <c r="X30">
        <f t="shared" si="6"/>
        <v>267400072258.8143</v>
      </c>
      <c r="Y30" s="84"/>
      <c r="Z30">
        <f xml:space="preserve"> Fig_futuro_Kaya!L30*10^6</f>
        <v>19286606847.594471</v>
      </c>
      <c r="AA30">
        <f xml:space="preserve"> Fig_futuro_Kaya!Q30</f>
        <v>14.389590211973866</v>
      </c>
      <c r="AB30">
        <f t="shared" ref="AB30:AB54" si="9" xml:space="preserve"> Z30*AA30</f>
        <v>277526369116.33356</v>
      </c>
      <c r="AC30" s="84"/>
      <c r="AD30">
        <f xml:space="preserve"> Fig_futuro_Kaya!L30*10^6</f>
        <v>19286606847.594471</v>
      </c>
      <c r="AE30">
        <f xml:space="preserve"> Fig_futuro_Kaya!R30</f>
        <v>14.366087764114258</v>
      </c>
      <c r="AF30">
        <f t="shared" si="7"/>
        <v>277073086644.50922</v>
      </c>
      <c r="AG30" s="85"/>
      <c r="AH30">
        <f xml:space="preserve"> Fig_futuro_Kaya!L30*10^6</f>
        <v>19286606847.594471</v>
      </c>
      <c r="AI30">
        <f>Fig_futuro_Kaya!S30</f>
        <v>14.250882569534353</v>
      </c>
      <c r="AJ30" s="47">
        <f t="shared" si="8"/>
        <v>274851169349.84595</v>
      </c>
    </row>
    <row r="31" spans="1:36" ht="15.75" x14ac:dyDescent="0.25">
      <c r="A31" s="76">
        <v>2027</v>
      </c>
      <c r="B31" s="83">
        <f xml:space="preserve"> Fig_futuro_Kaya!J31*10^6</f>
        <v>19361763965.840275</v>
      </c>
      <c r="C31" s="82">
        <f>Fig_futuro_Kaya!Q31</f>
        <v>14.251450145938916</v>
      </c>
      <c r="D31" s="83">
        <f t="shared" si="1"/>
        <v>275933213896.60925</v>
      </c>
      <c r="E31" s="84"/>
      <c r="F31">
        <f>Fig_futuro_Kaya!J31*10^6</f>
        <v>19361763965.840275</v>
      </c>
      <c r="G31">
        <f xml:space="preserve"> Fig_futuro_Kaya!R31</f>
        <v>14.217418203489713</v>
      </c>
      <c r="H31">
        <f t="shared" si="2"/>
        <v>275274295459.6087</v>
      </c>
      <c r="I31" s="84"/>
      <c r="J31">
        <f xml:space="preserve"> Fig_futuro_Kaya!J31*10^6</f>
        <v>19361763965.840275</v>
      </c>
      <c r="K31">
        <f xml:space="preserve"> Fig_futuro_Kaya!S31</f>
        <v>14.063811277383172</v>
      </c>
      <c r="L31">
        <f t="shared" si="3"/>
        <v>272300194412.81558</v>
      </c>
      <c r="M31" s="84"/>
      <c r="N31">
        <f xml:space="preserve"> Fig_futuro_Kaya!K31*10^6</f>
        <v>19068959016.028904</v>
      </c>
      <c r="O31">
        <f xml:space="preserve"> Fig_futuro_Kaya!Q31</f>
        <v>14.251450145938916</v>
      </c>
      <c r="P31">
        <f t="shared" si="4"/>
        <v>271760318751.88834</v>
      </c>
      <c r="Q31" s="84"/>
      <c r="R31">
        <f xml:space="preserve"> Fig_futuro_Kaya!K31*10^6</f>
        <v>19068959016.028904</v>
      </c>
      <c r="S31">
        <f xml:space="preserve"> Fig_futuro_Kaya!R31</f>
        <v>14.217418203489713</v>
      </c>
      <c r="T31">
        <f t="shared" si="5"/>
        <v>271111365036.08862</v>
      </c>
      <c r="U31" s="84"/>
      <c r="V31">
        <f xml:space="preserve"> Fig_futuro_Kaya!K31*10^6</f>
        <v>19068959016.028904</v>
      </c>
      <c r="W31">
        <f xml:space="preserve"> Fig_futuro_Kaya!S31</f>
        <v>14.063811277383172</v>
      </c>
      <c r="X31">
        <f t="shared" si="6"/>
        <v>268182240857.58481</v>
      </c>
      <c r="Y31" s="84"/>
      <c r="Z31">
        <f xml:space="preserve"> Fig_futuro_Kaya!L31*10^6</f>
        <v>19871520011.737656</v>
      </c>
      <c r="AA31">
        <f xml:space="preserve"> Fig_futuro_Kaya!Q31</f>
        <v>14.251450145938916</v>
      </c>
      <c r="AB31">
        <f t="shared" si="9"/>
        <v>283197976771.3067</v>
      </c>
      <c r="AC31" s="84"/>
      <c r="AD31">
        <f xml:space="preserve"> Fig_futuro_Kaya!L31*10^6</f>
        <v>19871520011.737656</v>
      </c>
      <c r="AE31">
        <f xml:space="preserve"> Fig_futuro_Kaya!R31</f>
        <v>14.217418203489713</v>
      </c>
      <c r="AF31">
        <f t="shared" si="7"/>
        <v>282521710345.88904</v>
      </c>
      <c r="AG31" s="85"/>
      <c r="AH31">
        <f xml:space="preserve"> Fig_futuro_Kaya!L31*10^6</f>
        <v>19871520011.737656</v>
      </c>
      <c r="AI31">
        <f>Fig_futuro_Kaya!S31</f>
        <v>14.063811277383172</v>
      </c>
      <c r="AJ31" s="47">
        <f t="shared" si="8"/>
        <v>279469307239.82141</v>
      </c>
    </row>
    <row r="32" spans="1:36" ht="15.75" x14ac:dyDescent="0.25">
      <c r="A32" s="76">
        <v>2028</v>
      </c>
      <c r="B32" s="83">
        <f xml:space="preserve"> Fig_futuro_Kaya!J32*10^6</f>
        <v>19776895858.213314</v>
      </c>
      <c r="C32" s="82">
        <f>Fig_futuro_Kaya!Q32</f>
        <v>14.114636224537902</v>
      </c>
      <c r="D32" s="83">
        <f t="shared" si="1"/>
        <v>279143690689.25122</v>
      </c>
      <c r="E32" s="84"/>
      <c r="F32">
        <f>Fig_futuro_Kaya!J32*10^6</f>
        <v>19776895858.213314</v>
      </c>
      <c r="G32">
        <f xml:space="preserve"> Fig_futuro_Kaya!R32</f>
        <v>14.068748642865167</v>
      </c>
      <c r="H32">
        <f t="shared" si="2"/>
        <v>278236176765.32428</v>
      </c>
      <c r="I32" s="84"/>
      <c r="J32">
        <f xml:space="preserve"> Fig_futuro_Kaya!J32*10^6</f>
        <v>19776895858.213314</v>
      </c>
      <c r="K32">
        <f xml:space="preserve"> Fig_futuro_Kaya!S32</f>
        <v>13.876739985231991</v>
      </c>
      <c r="L32">
        <f t="shared" si="3"/>
        <v>274438841539.43765</v>
      </c>
      <c r="M32" s="84"/>
      <c r="N32">
        <f xml:space="preserve"> Fig_futuro_Kaya!K32*10^6</f>
        <v>19379127131.890434</v>
      </c>
      <c r="O32">
        <f xml:space="preserve"> Fig_futuro_Kaya!Q32</f>
        <v>14.114636224537902</v>
      </c>
      <c r="P32">
        <f t="shared" si="4"/>
        <v>273529329815.70602</v>
      </c>
      <c r="Q32" s="84"/>
      <c r="R32">
        <f xml:space="preserve"> Fig_futuro_Kaya!K32*10^6</f>
        <v>19379127131.890434</v>
      </c>
      <c r="S32">
        <f xml:space="preserve"> Fig_futuro_Kaya!R32</f>
        <v>14.068748642865167</v>
      </c>
      <c r="T32">
        <f t="shared" si="5"/>
        <v>272640068536.69507</v>
      </c>
      <c r="U32" s="84"/>
      <c r="V32">
        <f xml:space="preserve"> Fig_futuro_Kaya!K32*10^6</f>
        <v>19379127131.890434</v>
      </c>
      <c r="W32">
        <f xml:space="preserve"> Fig_futuro_Kaya!S32</f>
        <v>13.876739985231991</v>
      </c>
      <c r="X32">
        <f t="shared" si="6"/>
        <v>268919108349.99814</v>
      </c>
      <c r="Y32" s="84"/>
      <c r="Z32">
        <f xml:space="preserve"> Fig_futuro_Kaya!L32*10^6</f>
        <v>20474172087.255543</v>
      </c>
      <c r="AA32">
        <f xml:space="preserve"> Fig_futuro_Kaya!Q32</f>
        <v>14.114636224537902</v>
      </c>
      <c r="AB32">
        <f t="shared" si="9"/>
        <v>288985491010.19989</v>
      </c>
      <c r="AC32" s="84"/>
      <c r="AD32">
        <f xml:space="preserve"> Fig_futuro_Kaya!L32*10^6</f>
        <v>20474172087.255543</v>
      </c>
      <c r="AE32">
        <f xml:space="preserve"> Fig_futuro_Kaya!R32</f>
        <v>14.068748642865167</v>
      </c>
      <c r="AF32">
        <f t="shared" si="7"/>
        <v>288045980766.36432</v>
      </c>
      <c r="AG32" s="85"/>
      <c r="AH32">
        <f xml:space="preserve"> Fig_futuro_Kaya!L32*10^6</f>
        <v>20474172087.255543</v>
      </c>
      <c r="AI32">
        <f>Fig_futuro_Kaya!S32</f>
        <v>13.876739985231991</v>
      </c>
      <c r="AJ32" s="47">
        <f t="shared" si="8"/>
        <v>284114762467.73975</v>
      </c>
    </row>
    <row r="33" spans="1:36" ht="15.75" x14ac:dyDescent="0.25">
      <c r="A33" s="76">
        <v>2029</v>
      </c>
      <c r="B33" s="83">
        <f xml:space="preserve"> Fig_futuro_Kaya!J33*10^6</f>
        <v>20200928514.399487</v>
      </c>
      <c r="C33" s="82">
        <f>Fig_futuro_Kaya!Q33</f>
        <v>13.979135716782338</v>
      </c>
      <c r="D33" s="83">
        <f t="shared" si="1"/>
        <v>282391521307.80865</v>
      </c>
      <c r="E33" s="84"/>
      <c r="F33">
        <f>Fig_futuro_Kaya!J33*10^6</f>
        <v>20200928514.399487</v>
      </c>
      <c r="G33">
        <f xml:space="preserve"> Fig_futuro_Kaya!R33</f>
        <v>13.920079082240621</v>
      </c>
      <c r="H33">
        <f t="shared" si="2"/>
        <v>281198522455.13037</v>
      </c>
      <c r="I33" s="84"/>
      <c r="J33">
        <f xml:space="preserve"> Fig_futuro_Kaya!J33*10^6</f>
        <v>20200928514.399487</v>
      </c>
      <c r="K33">
        <f xml:space="preserve"> Fig_futuro_Kaya!S33</f>
        <v>13.68966869308081</v>
      </c>
      <c r="L33">
        <f t="shared" si="3"/>
        <v>276544018654.7381</v>
      </c>
      <c r="M33" s="84"/>
      <c r="N33">
        <f xml:space="preserve"> Fig_futuro_Kaya!K33*10^6</f>
        <v>19694340319.169666</v>
      </c>
      <c r="O33">
        <f xml:space="preserve"> Fig_futuro_Kaya!Q33</f>
        <v>13.979135716782338</v>
      </c>
      <c r="P33">
        <f t="shared" si="4"/>
        <v>275309856174.17114</v>
      </c>
      <c r="Q33" s="84"/>
      <c r="R33">
        <f xml:space="preserve"> Fig_futuro_Kaya!K33*10^6</f>
        <v>19694340319.169666</v>
      </c>
      <c r="S33">
        <f xml:space="preserve"> Fig_futuro_Kaya!R33</f>
        <v>13.920079082240621</v>
      </c>
      <c r="T33">
        <f t="shared" si="5"/>
        <v>274146774715.40173</v>
      </c>
      <c r="U33" s="84"/>
      <c r="V33">
        <f xml:space="preserve"> Fig_futuro_Kaya!K33*10^6</f>
        <v>19694340319.169666</v>
      </c>
      <c r="W33">
        <f xml:space="preserve"> Fig_futuro_Kaya!S33</f>
        <v>13.68966869308081</v>
      </c>
      <c r="X33">
        <f t="shared" si="6"/>
        <v>269608994098.21609</v>
      </c>
      <c r="Y33" s="84"/>
      <c r="Z33">
        <f xml:space="preserve"> Fig_futuro_Kaya!L33*10^6</f>
        <v>21095101049.690552</v>
      </c>
      <c r="AA33">
        <f xml:space="preserve"> Fig_futuro_Kaya!Q33</f>
        <v>13.979135716782338</v>
      </c>
      <c r="AB33">
        <f t="shared" si="9"/>
        <v>294891280532.86176</v>
      </c>
      <c r="AC33" s="84"/>
      <c r="AD33">
        <f xml:space="preserve"> Fig_futuro_Kaya!L33*10^6</f>
        <v>21095101049.690552</v>
      </c>
      <c r="AE33">
        <f xml:space="preserve"> Fig_futuro_Kaya!R33</f>
        <v>13.920079082240621</v>
      </c>
      <c r="AF33">
        <f t="shared" si="7"/>
        <v>293645474859.54962</v>
      </c>
      <c r="AG33" s="85"/>
      <c r="AH33">
        <f xml:space="preserve"> Fig_futuro_Kaya!L33*10^6</f>
        <v>21095101049.690552</v>
      </c>
      <c r="AI33">
        <f>Fig_futuro_Kaya!S33</f>
        <v>13.68966869308081</v>
      </c>
      <c r="AJ33" s="47">
        <f t="shared" si="8"/>
        <v>288784944417.32489</v>
      </c>
    </row>
    <row r="34" spans="1:36" ht="15.75" x14ac:dyDescent="0.25">
      <c r="A34" s="76">
        <v>2030</v>
      </c>
      <c r="B34" s="83">
        <f xml:space="preserve"> Fig_futuro_Kaya!J34*10^6</f>
        <v>20634052773.979889</v>
      </c>
      <c r="C34" s="82">
        <f>Fig_futuro_Kaya!Q34</f>
        <v>13.844936013901227</v>
      </c>
      <c r="D34" s="113">
        <f t="shared" si="1"/>
        <v>285677140363.21271</v>
      </c>
      <c r="E34" s="84"/>
      <c r="F34">
        <f>Fig_futuro_Kaya!J34*10^6</f>
        <v>20634052773.979889</v>
      </c>
      <c r="G34">
        <f xml:space="preserve"> Fig_futuro_Kaya!R34</f>
        <v>13.771409521616075</v>
      </c>
      <c r="H34">
        <f t="shared" si="2"/>
        <v>284159990841.11523</v>
      </c>
      <c r="I34" s="84"/>
      <c r="J34">
        <f xml:space="preserve"> Fig_futuro_Kaya!J34*10^6</f>
        <v>20634052773.979889</v>
      </c>
      <c r="K34">
        <f xml:space="preserve"> Fig_futuro_Kaya!S34</f>
        <v>13.502597400929629</v>
      </c>
      <c r="L34">
        <f t="shared" si="3"/>
        <v>278613307356.58563</v>
      </c>
      <c r="M34" s="84"/>
      <c r="N34">
        <f xml:space="preserve"> Fig_futuro_Kaya!K34*10^6</f>
        <v>20014680638.995102</v>
      </c>
      <c r="O34">
        <f xml:space="preserve"> Fig_futuro_Kaya!Q34</f>
        <v>13.844936013901227</v>
      </c>
      <c r="P34">
        <f t="shared" si="4"/>
        <v>277101972785.55493</v>
      </c>
      <c r="Q34" s="84"/>
      <c r="R34">
        <f xml:space="preserve"> Fig_futuro_Kaya!K34*10^6</f>
        <v>20014680638.995102</v>
      </c>
      <c r="S34">
        <f xml:space="preserve"> Fig_futuro_Kaya!R34</f>
        <v>13.771409521616075</v>
      </c>
      <c r="T34">
        <f t="shared" si="5"/>
        <v>275630363523.96204</v>
      </c>
      <c r="U34" s="84"/>
      <c r="V34">
        <f xml:space="preserve"> Fig_futuro_Kaya!K34*10^6</f>
        <v>20014680638.995102</v>
      </c>
      <c r="W34">
        <f xml:space="preserve"> Fig_futuro_Kaya!S34</f>
        <v>13.502597400929629</v>
      </c>
      <c r="X34">
        <f t="shared" si="6"/>
        <v>270250174776.53183</v>
      </c>
      <c r="Y34" s="84"/>
      <c r="Z34">
        <f xml:space="preserve"> Fig_futuro_Kaya!L34*10^6</f>
        <v>21734861189.999203</v>
      </c>
      <c r="AA34">
        <f xml:space="preserve"> Fig_futuro_Kaya!Q34</f>
        <v>13.844936013901227</v>
      </c>
      <c r="AB34">
        <f t="shared" si="9"/>
        <v>300917762446.56403</v>
      </c>
      <c r="AC34" s="84"/>
      <c r="AD34">
        <f xml:space="preserve"> Fig_futuro_Kaya!L34*10^6</f>
        <v>21734861189.999203</v>
      </c>
      <c r="AE34">
        <f xml:space="preserve"> Fig_futuro_Kaya!R34</f>
        <v>13.771409521616075</v>
      </c>
      <c r="AF34">
        <f t="shared" si="7"/>
        <v>299319674342.95874</v>
      </c>
      <c r="AG34" s="85"/>
      <c r="AH34">
        <f xml:space="preserve"> Fig_futuro_Kaya!L34*10^6</f>
        <v>21734861189.999203</v>
      </c>
      <c r="AI34">
        <f>Fig_futuro_Kaya!S34</f>
        <v>13.502597400929629</v>
      </c>
      <c r="AJ34" s="47">
        <f t="shared" si="8"/>
        <v>293477080213.64948</v>
      </c>
    </row>
    <row r="35" spans="1:36" ht="15.75" x14ac:dyDescent="0.25">
      <c r="A35" s="76">
        <v>2031</v>
      </c>
      <c r="B35" s="83">
        <f xml:space="preserve"> Fig_futuro_Kaya!J35*10^6</f>
        <v>21076463568.290787</v>
      </c>
      <c r="C35" s="82">
        <f>Fig_futuro_Kaya!Q35</f>
        <v>13.712024628167775</v>
      </c>
      <c r="D35" s="83">
        <f t="shared" si="1"/>
        <v>289000987523.08411</v>
      </c>
      <c r="E35" s="84"/>
      <c r="F35">
        <f>Fig_futuro_Kaya!J35*10^6</f>
        <v>21076463568.290787</v>
      </c>
      <c r="G35">
        <f xml:space="preserve"> Fig_futuro_Kaya!R35</f>
        <v>13.622739960991529</v>
      </c>
      <c r="H35">
        <f t="shared" si="2"/>
        <v>287119182488.13702</v>
      </c>
      <c r="I35" s="84"/>
      <c r="J35">
        <f xml:space="preserve"> Fig_futuro_Kaya!J35*10^6</f>
        <v>21076463568.290787</v>
      </c>
      <c r="K35">
        <f xml:space="preserve"> Fig_futuro_Kaya!S35</f>
        <v>13.315526108778448</v>
      </c>
      <c r="L35">
        <f t="shared" si="3"/>
        <v>280644200924.29376</v>
      </c>
      <c r="M35" s="84"/>
      <c r="N35">
        <f xml:space="preserve"> Fig_futuro_Kaya!K35*10^6</f>
        <v>20340231487.268929</v>
      </c>
      <c r="O35">
        <f xml:space="preserve"> Fig_futuro_Kaya!Q35</f>
        <v>13.712024628167775</v>
      </c>
      <c r="P35">
        <f t="shared" si="4"/>
        <v>278905755096.06519</v>
      </c>
      <c r="Q35" s="84"/>
      <c r="R35">
        <f xml:space="preserve"> Fig_futuro_Kaya!K35*10^6</f>
        <v>20340231487.268929</v>
      </c>
      <c r="S35">
        <f xml:space="preserve"> Fig_futuro_Kaya!R35</f>
        <v>13.622739960991529</v>
      </c>
      <c r="T35">
        <f t="shared" si="5"/>
        <v>277089684297.43658</v>
      </c>
      <c r="U35" s="84"/>
      <c r="V35">
        <f xml:space="preserve"> Fig_futuro_Kaya!K35*10^6</f>
        <v>20340231487.268929</v>
      </c>
      <c r="W35">
        <f xml:space="preserve"> Fig_futuro_Kaya!S35</f>
        <v>13.315526108778448</v>
      </c>
      <c r="X35">
        <f t="shared" si="6"/>
        <v>270840883427.3269</v>
      </c>
      <c r="Y35" s="84"/>
      <c r="Z35">
        <f xml:space="preserve"> Fig_futuro_Kaya!L35*10^6</f>
        <v>22394023609.356606</v>
      </c>
      <c r="AA35">
        <f xml:space="preserve"> Fig_futuro_Kaya!Q35</f>
        <v>13.712024628167775</v>
      </c>
      <c r="AB35">
        <f t="shared" si="9"/>
        <v>307067403255.26837</v>
      </c>
      <c r="AC35" s="84"/>
      <c r="AD35">
        <f xml:space="preserve"> Fig_futuro_Kaya!L35*10^6</f>
        <v>22394023609.356606</v>
      </c>
      <c r="AE35">
        <f xml:space="preserve"> Fig_futuro_Kaya!R35</f>
        <v>13.622739960991529</v>
      </c>
      <c r="AF35">
        <f t="shared" si="7"/>
        <v>305067960310.57001</v>
      </c>
      <c r="AG35" s="85"/>
      <c r="AH35">
        <f xml:space="preserve"> Fig_futuro_Kaya!L35*10^6</f>
        <v>22394023609.356606</v>
      </c>
      <c r="AI35">
        <f>Fig_futuro_Kaya!S35</f>
        <v>13.315526108778448</v>
      </c>
      <c r="AJ35" s="47">
        <f t="shared" si="8"/>
        <v>298188206050.98883</v>
      </c>
    </row>
    <row r="36" spans="1:36" ht="15.75" x14ac:dyDescent="0.25">
      <c r="A36" s="76">
        <v>2032</v>
      </c>
      <c r="B36" s="83">
        <f xml:space="preserve"> Fig_futuro_Kaya!J36*10^6</f>
        <v>21528360008.154045</v>
      </c>
      <c r="C36" s="82">
        <f>Fig_futuro_Kaya!Q36</f>
        <v>13.580389191737364</v>
      </c>
      <c r="D36" s="83">
        <f t="shared" si="1"/>
        <v>292363507570.5661</v>
      </c>
      <c r="E36" s="84"/>
      <c r="F36">
        <f>Fig_futuro_Kaya!J36*10^6</f>
        <v>21528360008.154045</v>
      </c>
      <c r="G36">
        <f xml:space="preserve"> Fig_futuro_Kaya!R36</f>
        <v>13.474070400366983</v>
      </c>
      <c r="H36">
        <f t="shared" si="2"/>
        <v>290074638354.31274</v>
      </c>
      <c r="I36" s="84"/>
      <c r="J36">
        <f xml:space="preserve"> Fig_futuro_Kaya!J36*10^6</f>
        <v>21528360008.154045</v>
      </c>
      <c r="K36">
        <f xml:space="preserve"> Fig_futuro_Kaya!S36</f>
        <v>13.128454816627267</v>
      </c>
      <c r="L36">
        <f t="shared" si="3"/>
        <v>282634101643.1358</v>
      </c>
      <c r="M36" s="84"/>
      <c r="N36">
        <f xml:space="preserve"> Fig_futuro_Kaya!K36*10^6</f>
        <v>20671077616.378048</v>
      </c>
      <c r="O36">
        <f xml:space="preserve"> Fig_futuro_Kaya!Q36</f>
        <v>13.580389191737364</v>
      </c>
      <c r="P36">
        <f t="shared" si="4"/>
        <v>280721279043.0246</v>
      </c>
      <c r="Q36" s="84"/>
      <c r="R36">
        <f xml:space="preserve"> Fig_futuro_Kaya!K36*10^6</f>
        <v>20671077616.378048</v>
      </c>
      <c r="S36">
        <f xml:space="preserve"> Fig_futuro_Kaya!R36</f>
        <v>13.474070400366983</v>
      </c>
      <c r="T36">
        <f t="shared" si="5"/>
        <v>278523555054.52795</v>
      </c>
      <c r="U36" s="84"/>
      <c r="V36">
        <f xml:space="preserve"> Fig_futuro_Kaya!K36*10^6</f>
        <v>20671077616.378048</v>
      </c>
      <c r="W36">
        <f xml:space="preserve"> Fig_futuro_Kaya!S36</f>
        <v>13.128454816627267</v>
      </c>
      <c r="X36">
        <f t="shared" si="6"/>
        <v>271379308497.61447</v>
      </c>
      <c r="Y36" s="84"/>
      <c r="Z36">
        <f xml:space="preserve"> Fig_futuro_Kaya!L36*10^6</f>
        <v>23073176728.967159</v>
      </c>
      <c r="AA36">
        <f xml:space="preserve"> Fig_futuro_Kaya!Q36</f>
        <v>13.580389191737364</v>
      </c>
      <c r="AB36">
        <f t="shared" si="9"/>
        <v>313342719869.11169</v>
      </c>
      <c r="AC36" s="84"/>
      <c r="AD36">
        <f xml:space="preserve"> Fig_futuro_Kaya!L36*10^6</f>
        <v>23073176728.967159</v>
      </c>
      <c r="AE36">
        <f xml:space="preserve"> Fig_futuro_Kaya!R36</f>
        <v>13.474070400366983</v>
      </c>
      <c r="AF36">
        <f t="shared" si="7"/>
        <v>310889607606.21271</v>
      </c>
      <c r="AG36" s="85"/>
      <c r="AH36">
        <f xml:space="preserve"> Fig_futuro_Kaya!L36*10^6</f>
        <v>23073176728.967159</v>
      </c>
      <c r="AI36">
        <f>Fig_futuro_Kaya!S36</f>
        <v>13.128454816627267</v>
      </c>
      <c r="AJ36" s="47">
        <f t="shared" si="8"/>
        <v>302915158162.30109</v>
      </c>
    </row>
    <row r="37" spans="1:36" ht="15.75" x14ac:dyDescent="0.25">
      <c r="A37" s="76">
        <v>2033</v>
      </c>
      <c r="B37" s="83">
        <f xml:space="preserve"> Fig_futuro_Kaya!J37*10^6</f>
        <v>21989945473.48877</v>
      </c>
      <c r="C37" s="82">
        <f>Fig_futuro_Kaya!Q37</f>
        <v>13.450017455496685</v>
      </c>
      <c r="D37" s="83">
        <f t="shared" si="1"/>
        <v>295765150463.84424</v>
      </c>
      <c r="E37" s="84"/>
      <c r="F37">
        <f>Fig_futuro_Kaya!J37*10^6</f>
        <v>21989945473.48877</v>
      </c>
      <c r="G37">
        <f xml:space="preserve"> Fig_futuro_Kaya!R37</f>
        <v>13.325400839742437</v>
      </c>
      <c r="H37">
        <f t="shared" si="2"/>
        <v>293024837878.31769</v>
      </c>
      <c r="I37" s="84"/>
      <c r="J37">
        <f xml:space="preserve"> Fig_futuro_Kaya!J37*10^6</f>
        <v>21989945473.48877</v>
      </c>
      <c r="K37">
        <f xml:space="preserve"> Fig_futuro_Kaya!S37</f>
        <v>12.941383524476086</v>
      </c>
      <c r="L37">
        <f t="shared" si="3"/>
        <v>284580318054.73505</v>
      </c>
      <c r="M37" s="84"/>
      <c r="N37">
        <f xml:space="preserve"> Fig_futuro_Kaya!K37*10^6</f>
        <v>21007305157.257973</v>
      </c>
      <c r="O37">
        <f xml:space="preserve"> Fig_futuro_Kaya!Q37</f>
        <v>13.450017455496685</v>
      </c>
      <c r="P37">
        <f t="shared" si="4"/>
        <v>282548621058.06525</v>
      </c>
      <c r="Q37" s="84"/>
      <c r="R37">
        <f xml:space="preserve"> Fig_futuro_Kaya!K37*10^6</f>
        <v>21007305157.257973</v>
      </c>
      <c r="S37">
        <f xml:space="preserve"> Fig_futuro_Kaya!R37</f>
        <v>13.325400839742437</v>
      </c>
      <c r="T37">
        <f t="shared" si="5"/>
        <v>279930761783.25104</v>
      </c>
      <c r="U37" s="84"/>
      <c r="V37">
        <f xml:space="preserve"> Fig_futuro_Kaya!K37*10^6</f>
        <v>21007305157.257973</v>
      </c>
      <c r="W37">
        <f xml:space="preserve"> Fig_futuro_Kaya!S37</f>
        <v>12.941383524476086</v>
      </c>
      <c r="X37">
        <f t="shared" si="6"/>
        <v>271863592855.77985</v>
      </c>
      <c r="Y37" s="84"/>
      <c r="Z37">
        <f xml:space="preserve"> Fig_futuro_Kaya!L37*10^6</f>
        <v>23772926815.336475</v>
      </c>
      <c r="AA37">
        <f xml:space="preserve"> Fig_futuro_Kaya!Q37</f>
        <v>13.450017455496685</v>
      </c>
      <c r="AB37">
        <f t="shared" si="9"/>
        <v>319746280634.52081</v>
      </c>
      <c r="AC37" s="84"/>
      <c r="AD37">
        <f xml:space="preserve"> Fig_futuro_Kaya!L37*10^6</f>
        <v>23772926815.336475</v>
      </c>
      <c r="AE37">
        <f xml:space="preserve"> Fig_futuro_Kaya!R37</f>
        <v>13.325400839742437</v>
      </c>
      <c r="AF37">
        <f t="shared" si="7"/>
        <v>316783778948.22015</v>
      </c>
      <c r="AG37" s="85"/>
      <c r="AH37">
        <f xml:space="preserve"> Fig_futuro_Kaya!L37*10^6</f>
        <v>23772926815.336475</v>
      </c>
      <c r="AI37">
        <f>Fig_futuro_Kaya!S37</f>
        <v>12.941383524476086</v>
      </c>
      <c r="AJ37" s="47">
        <f t="shared" si="8"/>
        <v>307654563416.57123</v>
      </c>
    </row>
    <row r="38" spans="1:36" ht="15.75" x14ac:dyDescent="0.25">
      <c r="A38" s="76">
        <v>2034</v>
      </c>
      <c r="B38" s="83">
        <f xml:space="preserve"> Fig_futuro_Kaya!J38*10^6</f>
        <v>22461427704.844105</v>
      </c>
      <c r="C38" s="82">
        <f>Fig_futuro_Kaya!Q38</f>
        <v>13.320897287923916</v>
      </c>
      <c r="D38" s="83">
        <f t="shared" si="1"/>
        <v>299206371396.35693</v>
      </c>
      <c r="E38" s="84"/>
      <c r="F38">
        <f>Fig_futuro_Kaya!J38*10^6</f>
        <v>22461427704.844105</v>
      </c>
      <c r="G38">
        <f xml:space="preserve"> Fig_futuro_Kaya!R38</f>
        <v>13.176731279117892</v>
      </c>
      <c r="H38">
        <f t="shared" si="2"/>
        <v>295968197012.06451</v>
      </c>
      <c r="I38" s="84"/>
      <c r="J38">
        <f xml:space="preserve"> Fig_futuro_Kaya!J38*10^6</f>
        <v>22461427704.844105</v>
      </c>
      <c r="K38">
        <f xml:space="preserve"> Fig_futuro_Kaya!S38</f>
        <v>12.754312232324905</v>
      </c>
      <c r="L38">
        <f t="shared" si="3"/>
        <v>286480062131.37469</v>
      </c>
      <c r="M38" s="84"/>
      <c r="N38">
        <f xml:space="preserve"> Fig_futuro_Kaya!K38*10^6</f>
        <v>21349001641.815849</v>
      </c>
      <c r="O38">
        <f xml:space="preserve"> Fig_futuro_Kaya!Q38</f>
        <v>13.320897287923916</v>
      </c>
      <c r="P38">
        <f t="shared" si="4"/>
        <v>284387858070.34796</v>
      </c>
      <c r="Q38" s="84"/>
      <c r="R38">
        <f xml:space="preserve"> Fig_futuro_Kaya!K38*10^6</f>
        <v>21349001641.815849</v>
      </c>
      <c r="S38">
        <f xml:space="preserve"> Fig_futuro_Kaya!R38</f>
        <v>13.176731279117892</v>
      </c>
      <c r="T38">
        <f t="shared" si="5"/>
        <v>281310057711.65411</v>
      </c>
      <c r="U38" s="84"/>
      <c r="V38">
        <f xml:space="preserve"> Fig_futuro_Kaya!K38*10^6</f>
        <v>21349001641.815849</v>
      </c>
      <c r="W38">
        <f xml:space="preserve"> Fig_futuro_Kaya!S38</f>
        <v>12.754312232324905</v>
      </c>
      <c r="X38">
        <f t="shared" si="6"/>
        <v>272291832788.13635</v>
      </c>
      <c r="Y38" s="84"/>
      <c r="Z38">
        <f xml:space="preserve"> Fig_futuro_Kaya!L38*10^6</f>
        <v>24493898521.473434</v>
      </c>
      <c r="AA38">
        <f xml:space="preserve"> Fig_futuro_Kaya!Q38</f>
        <v>13.320897287923916</v>
      </c>
      <c r="AB38">
        <f t="shared" si="9"/>
        <v>326280706385.37909</v>
      </c>
      <c r="AC38" s="84"/>
      <c r="AD38">
        <f xml:space="preserve"> Fig_futuro_Kaya!L38*10^6</f>
        <v>24493898521.473434</v>
      </c>
      <c r="AE38">
        <f xml:space="preserve"> Fig_futuro_Kaya!R38</f>
        <v>13.176731279117892</v>
      </c>
      <c r="AF38">
        <f t="shared" si="7"/>
        <v>322749518795.43848</v>
      </c>
      <c r="AG38" s="85"/>
      <c r="AH38">
        <f xml:space="preserve"> Fig_futuro_Kaya!L38*10^6</f>
        <v>24493898521.473434</v>
      </c>
      <c r="AI38">
        <f>Fig_futuro_Kaya!S38</f>
        <v>12.754312232324905</v>
      </c>
      <c r="AJ38" s="47">
        <f t="shared" si="8"/>
        <v>312402829529.75354</v>
      </c>
    </row>
    <row r="39" spans="1:36" ht="15.75" x14ac:dyDescent="0.25">
      <c r="A39" s="76">
        <v>2035</v>
      </c>
      <c r="B39" s="83">
        <f xml:space="preserve"> Fig_futuro_Kaya!J39*10^6</f>
        <v>22943018896.894768</v>
      </c>
      <c r="C39" s="82">
        <f>Fig_futuro_Kaya!Q39</f>
        <v>13.193016673959846</v>
      </c>
      <c r="D39" s="83">
        <f t="shared" si="1"/>
        <v>302687630857.7085</v>
      </c>
      <c r="E39" s="84"/>
      <c r="F39">
        <f>Fig_futuro_Kaya!J39*10^6</f>
        <v>22943018896.894768</v>
      </c>
      <c r="G39">
        <f xml:space="preserve"> Fig_futuro_Kaya!R39</f>
        <v>13.028061718493346</v>
      </c>
      <c r="H39">
        <f t="shared" si="2"/>
        <v>298903066197.30414</v>
      </c>
      <c r="I39" s="84"/>
      <c r="J39">
        <f xml:space="preserve"> Fig_futuro_Kaya!J39*10^6</f>
        <v>22943018896.894768</v>
      </c>
      <c r="K39">
        <f xml:space="preserve"> Fig_futuro_Kaya!S39</f>
        <v>12.567240940173724</v>
      </c>
      <c r="L39">
        <f t="shared" si="3"/>
        <v>288330446372.23529</v>
      </c>
      <c r="M39" s="84"/>
      <c r="N39">
        <f xml:space="preserve"> Fig_futuro_Kaya!K39*10^6</f>
        <v>21696256025.717995</v>
      </c>
      <c r="O39">
        <f xml:space="preserve"> Fig_futuro_Kaya!Q39</f>
        <v>13.193016673959846</v>
      </c>
      <c r="P39">
        <f t="shared" si="4"/>
        <v>286239067509.79932</v>
      </c>
      <c r="Q39" s="84"/>
      <c r="R39">
        <f xml:space="preserve"> Fig_futuro_Kaya!K39*10^6</f>
        <v>21696256025.717995</v>
      </c>
      <c r="S39">
        <f xml:space="preserve"> Fig_futuro_Kaya!R39</f>
        <v>13.028061718493346</v>
      </c>
      <c r="T39">
        <f t="shared" si="5"/>
        <v>282660162563.28717</v>
      </c>
      <c r="U39" s="84"/>
      <c r="V39">
        <f xml:space="preserve"> Fig_futuro_Kaya!K39*10^6</f>
        <v>21696256025.717995</v>
      </c>
      <c r="W39">
        <f xml:space="preserve"> Fig_futuro_Kaya!S39</f>
        <v>12.567240940173724</v>
      </c>
      <c r="X39">
        <f t="shared" si="6"/>
        <v>272662076974.89404</v>
      </c>
      <c r="Y39" s="84"/>
      <c r="Z39">
        <f xml:space="preserve"> Fig_futuro_Kaya!L39*10^6</f>
        <v>25236735444.50555</v>
      </c>
      <c r="AA39">
        <f xml:space="preserve"> Fig_futuro_Kaya!Q39</f>
        <v>13.193016673959846</v>
      </c>
      <c r="AB39">
        <f t="shared" si="9"/>
        <v>332948671515.67517</v>
      </c>
      <c r="AC39" s="84"/>
      <c r="AD39">
        <f xml:space="preserve"> Fig_futuro_Kaya!L39*10^6</f>
        <v>25236735444.50555</v>
      </c>
      <c r="AE39">
        <f xml:space="preserve"> Fig_futuro_Kaya!R39</f>
        <v>13.028061718493346</v>
      </c>
      <c r="AF39">
        <f t="shared" si="7"/>
        <v>328785746944.30688</v>
      </c>
      <c r="AG39" s="85"/>
      <c r="AH39">
        <f xml:space="preserve"> Fig_futuro_Kaya!L39*10^6</f>
        <v>25236735444.50555</v>
      </c>
      <c r="AI39">
        <f>Fig_futuro_Kaya!S39</f>
        <v>12.567240940173724</v>
      </c>
      <c r="AJ39" s="47">
        <f t="shared" si="8"/>
        <v>317156134874.5235</v>
      </c>
    </row>
    <row r="40" spans="1:36" ht="15.75" x14ac:dyDescent="0.25">
      <c r="A40" s="76">
        <v>2036</v>
      </c>
      <c r="B40" s="83">
        <f xml:space="preserve"> Fig_futuro_Kaya!J40*10^6</f>
        <v>23434935793.941032</v>
      </c>
      <c r="C40" s="82">
        <f>Fig_futuro_Kaya!Q40</f>
        <v>13.066363713889832</v>
      </c>
      <c r="D40" s="83">
        <f t="shared" si="1"/>
        <v>306209394695.28912</v>
      </c>
      <c r="E40" s="84"/>
      <c r="F40">
        <f>Fig_futuro_Kaya!J40*10^6</f>
        <v>23434935793.941032</v>
      </c>
      <c r="G40">
        <f xml:space="preserve"> Fig_futuro_Kaya!R40</f>
        <v>12.8793921578688</v>
      </c>
      <c r="H40">
        <f t="shared" si="2"/>
        <v>301827728284.64294</v>
      </c>
      <c r="I40" s="84"/>
      <c r="J40">
        <f xml:space="preserve"> Fig_futuro_Kaya!J40*10^6</f>
        <v>23434935793.941032</v>
      </c>
      <c r="K40">
        <f xml:space="preserve"> Fig_futuro_Kaya!S40</f>
        <v>12.380169648022543</v>
      </c>
      <c r="L40">
        <f t="shared" si="3"/>
        <v>290128480819.50586</v>
      </c>
      <c r="M40" s="84"/>
      <c r="N40">
        <f xml:space="preserve"> Fig_futuro_Kaya!K40*10^6</f>
        <v>22049158711.548389</v>
      </c>
      <c r="O40">
        <f xml:space="preserve"> Fig_futuro_Kaya!Q40</f>
        <v>13.066363713889832</v>
      </c>
      <c r="P40">
        <f t="shared" si="4"/>
        <v>288102327310.37378</v>
      </c>
      <c r="Q40" s="84"/>
      <c r="R40">
        <f xml:space="preserve"> Fig_futuro_Kaya!K40*10^6</f>
        <v>22049158711.548389</v>
      </c>
      <c r="S40">
        <f xml:space="preserve"> Fig_futuro_Kaya!R40</f>
        <v>12.8793921578688</v>
      </c>
      <c r="T40">
        <f t="shared" si="5"/>
        <v>283979761797.12085</v>
      </c>
      <c r="U40" s="84"/>
      <c r="V40">
        <f xml:space="preserve"> Fig_futuro_Kaya!K40*10^6</f>
        <v>22049158711.548389</v>
      </c>
      <c r="W40">
        <f xml:space="preserve"> Fig_futuro_Kaya!S40</f>
        <v>12.380169648022543</v>
      </c>
      <c r="X40">
        <f t="shared" si="6"/>
        <v>272972325445.14322</v>
      </c>
      <c r="Y40" s="84"/>
      <c r="Z40">
        <f xml:space="preserve"> Fig_futuro_Kaya!L40*10^6</f>
        <v>26002100700.205338</v>
      </c>
      <c r="AA40">
        <f xml:space="preserve"> Fig_futuro_Kaya!Q40</f>
        <v>13.066363713889832</v>
      </c>
      <c r="AB40">
        <f t="shared" si="9"/>
        <v>339752905074.07239</v>
      </c>
      <c r="AC40" s="84"/>
      <c r="AD40">
        <f xml:space="preserve"> Fig_futuro_Kaya!L40*10^6</f>
        <v>26002100700.205338</v>
      </c>
      <c r="AE40">
        <f xml:space="preserve"> Fig_futuro_Kaya!R40</f>
        <v>12.8793921578688</v>
      </c>
      <c r="AF40">
        <f t="shared" si="7"/>
        <v>334891251846.33948</v>
      </c>
      <c r="AG40" s="85"/>
      <c r="AH40">
        <f xml:space="preserve"> Fig_futuro_Kaya!L40*10^6</f>
        <v>26002100700.205338</v>
      </c>
      <c r="AI40">
        <f>Fig_futuro_Kaya!S40</f>
        <v>12.380169648022543</v>
      </c>
      <c r="AJ40" s="47">
        <f t="shared" si="8"/>
        <v>321910417873.50781</v>
      </c>
    </row>
    <row r="41" spans="1:36" ht="15.75" x14ac:dyDescent="0.25">
      <c r="A41" s="76">
        <v>2037</v>
      </c>
      <c r="B41" s="83">
        <f xml:space="preserve"> Fig_futuro_Kaya!J41*10^6</f>
        <v>23937399787.45647</v>
      </c>
      <c r="C41" s="82">
        <f>Fig_futuro_Kaya!Q41</f>
        <v>12.940926622236489</v>
      </c>
      <c r="D41" s="83">
        <f t="shared" si="1"/>
        <v>309772134176.61353</v>
      </c>
      <c r="E41" s="84"/>
      <c r="F41">
        <f>Fig_futuro_Kaya!J41*10^6</f>
        <v>23937399787.45647</v>
      </c>
      <c r="G41">
        <f xml:space="preserve"> Fig_futuro_Kaya!R41</f>
        <v>12.730722597244254</v>
      </c>
      <c r="H41">
        <f t="shared" si="2"/>
        <v>304740396393.44189</v>
      </c>
      <c r="I41" s="84"/>
      <c r="J41">
        <f xml:space="preserve"> Fig_futuro_Kaya!J41*10^6</f>
        <v>23937399787.45647</v>
      </c>
      <c r="K41">
        <f xml:space="preserve"> Fig_futuro_Kaya!S41</f>
        <v>12.193098355871362</v>
      </c>
      <c r="L41">
        <f t="shared" si="3"/>
        <v>291871069992.271</v>
      </c>
      <c r="M41" s="84"/>
      <c r="N41">
        <f xml:space="preserve"> Fig_futuro_Kaya!K41*10^6</f>
        <v>22407801572.343479</v>
      </c>
      <c r="O41">
        <f xml:space="preserve"> Fig_futuro_Kaya!Q41</f>
        <v>12.940926622236489</v>
      </c>
      <c r="P41">
        <f t="shared" si="4"/>
        <v>289977715913.3324</v>
      </c>
      <c r="Q41" s="84"/>
      <c r="R41">
        <f xml:space="preserve"> Fig_futuro_Kaya!K41*10^6</f>
        <v>22407801572.343479</v>
      </c>
      <c r="S41">
        <f xml:space="preserve"> Fig_futuro_Kaya!R41</f>
        <v>12.730722597244254</v>
      </c>
      <c r="T41">
        <f t="shared" si="5"/>
        <v>285267505831.59845</v>
      </c>
      <c r="U41" s="84"/>
      <c r="V41">
        <f xml:space="preserve"> Fig_futuro_Kaya!K41*10^6</f>
        <v>22407801572.343479</v>
      </c>
      <c r="W41">
        <f xml:space="preserve"> Fig_futuro_Kaya!S41</f>
        <v>12.193098355871362</v>
      </c>
      <c r="X41">
        <f t="shared" si="6"/>
        <v>273220528510.43298</v>
      </c>
      <c r="Y41" s="84"/>
      <c r="Z41">
        <f xml:space="preserve"> Fig_futuro_Kaya!L41*10^6</f>
        <v>26790677514.940575</v>
      </c>
      <c r="AA41">
        <f xml:space="preserve"> Fig_futuro_Kaya!Q41</f>
        <v>12.940926622236489</v>
      </c>
      <c r="AB41">
        <f t="shared" si="9"/>
        <v>346696191880.84698</v>
      </c>
      <c r="AC41" s="84"/>
      <c r="AD41">
        <f xml:space="preserve"> Fig_futuro_Kaya!L41*10^6</f>
        <v>26790677514.940575</v>
      </c>
      <c r="AE41">
        <f xml:space="preserve"> Fig_futuro_Kaya!R41</f>
        <v>12.730722597244254</v>
      </c>
      <c r="AF41">
        <f t="shared" si="7"/>
        <v>341064683634.9375</v>
      </c>
      <c r="AG41" s="85"/>
      <c r="AH41">
        <f xml:space="preserve"> Fig_futuro_Kaya!L41*10^6</f>
        <v>26790677514.940575</v>
      </c>
      <c r="AI41">
        <f>Fig_futuro_Kaya!S41</f>
        <v>12.193098355871362</v>
      </c>
      <c r="AJ41" s="47">
        <f t="shared" si="8"/>
        <v>326661365960.10181</v>
      </c>
    </row>
    <row r="42" spans="1:36" ht="15.75" x14ac:dyDescent="0.25">
      <c r="A42" s="76">
        <v>2038</v>
      </c>
      <c r="B42" s="83">
        <f xml:space="preserve"> Fig_futuro_Kaya!J42*10^6</f>
        <v>24450637015.727058</v>
      </c>
      <c r="C42" s="82">
        <f>Fig_futuro_Kaya!Q42</f>
        <v>12.816693726663019</v>
      </c>
      <c r="D42" s="83">
        <f t="shared" si="1"/>
        <v>313376326052.38361</v>
      </c>
      <c r="E42" s="84"/>
      <c r="F42">
        <f>Fig_futuro_Kaya!J42*10^6</f>
        <v>24450637015.727058</v>
      </c>
      <c r="G42">
        <f xml:space="preserve"> Fig_futuro_Kaya!R42</f>
        <v>12.582053036619708</v>
      </c>
      <c r="H42">
        <f t="shared" si="2"/>
        <v>307639211711.01489</v>
      </c>
      <c r="I42" s="84"/>
      <c r="J42">
        <f xml:space="preserve"> Fig_futuro_Kaya!J42*10^6</f>
        <v>24450637015.727058</v>
      </c>
      <c r="K42">
        <f xml:space="preserve"> Fig_futuro_Kaya!S42</f>
        <v>12.006027063720181</v>
      </c>
      <c r="L42">
        <f t="shared" si="3"/>
        <v>293555009736.01752</v>
      </c>
      <c r="M42" s="84"/>
      <c r="N42">
        <f xml:space="preserve"> Fig_futuro_Kaya!K42*10^6</f>
        <v>22772277975.510025</v>
      </c>
      <c r="O42">
        <f xml:space="preserve"> Fig_futuro_Kaya!Q42</f>
        <v>12.816693726663019</v>
      </c>
      <c r="P42">
        <f t="shared" si="4"/>
        <v>291865312270.54578</v>
      </c>
      <c r="Q42" s="84"/>
      <c r="R42">
        <f xml:space="preserve"> Fig_futuro_Kaya!K42*10^6</f>
        <v>22772277975.510025</v>
      </c>
      <c r="S42">
        <f xml:space="preserve"> Fig_futuro_Kaya!R42</f>
        <v>12.582053036619708</v>
      </c>
      <c r="T42">
        <f t="shared" si="5"/>
        <v>286522009252.51404</v>
      </c>
      <c r="U42" s="84"/>
      <c r="V42">
        <f xml:space="preserve"> Fig_futuro_Kaya!K42*10^6</f>
        <v>22772277975.510025</v>
      </c>
      <c r="W42">
        <f xml:space="preserve"> Fig_futuro_Kaya!S42</f>
        <v>12.006027063720181</v>
      </c>
      <c r="X42">
        <f t="shared" si="6"/>
        <v>273404585676.53238</v>
      </c>
      <c r="Y42" s="84"/>
      <c r="Z42">
        <f xml:space="preserve"> Fig_futuro_Kaya!L42*10^6</f>
        <v>27603169835.576965</v>
      </c>
      <c r="AA42">
        <f xml:space="preserve"> Fig_futuro_Kaya!Q42</f>
        <v>12.816693726663019</v>
      </c>
      <c r="AB42">
        <f t="shared" si="9"/>
        <v>353781373667.65314</v>
      </c>
      <c r="AC42" s="84"/>
      <c r="AD42">
        <f xml:space="preserve"> Fig_futuro_Kaya!L42*10^6</f>
        <v>27603169835.576965</v>
      </c>
      <c r="AE42">
        <f xml:space="preserve"> Fig_futuro_Kaya!R42</f>
        <v>12.582053036619708</v>
      </c>
      <c r="AF42">
        <f t="shared" si="7"/>
        <v>347304546850.05072</v>
      </c>
      <c r="AG42" s="85"/>
      <c r="AH42">
        <f xml:space="preserve"> Fig_futuro_Kaya!L42*10^6</f>
        <v>27603169835.576965</v>
      </c>
      <c r="AI42">
        <f>Fig_futuro_Kaya!S42</f>
        <v>12.006027063720181</v>
      </c>
      <c r="AJ42" s="47">
        <f t="shared" si="8"/>
        <v>331404404090.40155</v>
      </c>
    </row>
    <row r="43" spans="1:36" ht="15.75" x14ac:dyDescent="0.25">
      <c r="A43" s="76">
        <v>2039</v>
      </c>
      <c r="B43" s="83">
        <f xml:space="preserve"> Fig_futuro_Kaya!J43*10^6</f>
        <v>24974878465.626614</v>
      </c>
      <c r="C43" s="82">
        <f>Fig_futuro_Kaya!Q43</f>
        <v>12.693653466887053</v>
      </c>
      <c r="D43" s="83">
        <f t="shared" si="1"/>
        <v>317022452620.28406</v>
      </c>
      <c r="E43" s="84"/>
      <c r="F43">
        <f>Fig_futuro_Kaya!J43*10^6</f>
        <v>24974878465.626614</v>
      </c>
      <c r="G43">
        <f xml:space="preserve"> Fig_futuro_Kaya!R43</f>
        <v>12.433383475995162</v>
      </c>
      <c r="H43">
        <f t="shared" si="2"/>
        <v>310522241229.50934</v>
      </c>
      <c r="I43" s="84"/>
      <c r="J43">
        <f xml:space="preserve"> Fig_futuro_Kaya!J43*10^6</f>
        <v>24974878465.626614</v>
      </c>
      <c r="K43">
        <f xml:space="preserve"> Fig_futuro_Kaya!S43</f>
        <v>11.818955771569</v>
      </c>
      <c r="L43">
        <f t="shared" si="3"/>
        <v>295176983985.552</v>
      </c>
      <c r="M43" s="84"/>
      <c r="N43">
        <f xml:space="preserve"> Fig_futuro_Kaya!K43*10^6</f>
        <v>23142682807.132023</v>
      </c>
      <c r="O43">
        <f xml:space="preserve"> Fig_futuro_Kaya!Q43</f>
        <v>12.693653466887053</v>
      </c>
      <c r="P43">
        <f t="shared" si="4"/>
        <v>293765195847.81879</v>
      </c>
      <c r="Q43" s="84"/>
      <c r="R43">
        <f xml:space="preserve"> Fig_futuro_Kaya!K43*10^6</f>
        <v>23142682807.132023</v>
      </c>
      <c r="S43">
        <f xml:space="preserve"> Fig_futuro_Kaya!R43</f>
        <v>12.433383475995162</v>
      </c>
      <c r="T43">
        <f t="shared" si="5"/>
        <v>287741850004.39264</v>
      </c>
      <c r="U43" s="84"/>
      <c r="V43">
        <f xml:space="preserve"> Fig_futuro_Kaya!K43*10^6</f>
        <v>23142682807.132023</v>
      </c>
      <c r="W43">
        <f xml:space="preserve"> Fig_futuro_Kaya!S43</f>
        <v>11.818955771569</v>
      </c>
      <c r="X43">
        <f t="shared" si="6"/>
        <v>273522344532.9437</v>
      </c>
      <c r="Y43" s="84"/>
      <c r="Z43">
        <f xml:space="preserve"> Fig_futuro_Kaya!L43*10^6</f>
        <v>28440302957.877483</v>
      </c>
      <c r="AA43">
        <f xml:space="preserve"> Fig_futuro_Kaya!Q43</f>
        <v>12.693653466887053</v>
      </c>
      <c r="AB43">
        <f t="shared" si="9"/>
        <v>361011350240.57965</v>
      </c>
      <c r="AC43" s="84"/>
      <c r="AD43">
        <f xml:space="preserve"> Fig_futuro_Kaya!L43*10^6</f>
        <v>28440302957.877483</v>
      </c>
      <c r="AE43">
        <f xml:space="preserve"> Fig_futuro_Kaya!R43</f>
        <v>12.433383475995162</v>
      </c>
      <c r="AF43">
        <f t="shared" si="7"/>
        <v>353609192848.77026</v>
      </c>
      <c r="AG43" s="85"/>
      <c r="AH43">
        <f xml:space="preserve"> Fig_futuro_Kaya!L43*10^6</f>
        <v>28440302957.877483</v>
      </c>
      <c r="AI43">
        <f>Fig_futuro_Kaya!S43</f>
        <v>11.818955771569</v>
      </c>
      <c r="AJ43" s="47">
        <f t="shared" si="8"/>
        <v>336134682789.177</v>
      </c>
    </row>
    <row r="44" spans="1:36" ht="15.75" x14ac:dyDescent="0.25">
      <c r="A44" s="76">
        <v>2040</v>
      </c>
      <c r="B44" s="83">
        <f xml:space="preserve"> Fig_futuro_Kaya!J44*10^6</f>
        <v>25510360076.574581</v>
      </c>
      <c r="C44" s="82">
        <f>Fig_futuro_Kaya!Q44</f>
        <v>12.571794393604936</v>
      </c>
      <c r="D44" s="113">
        <f t="shared" si="1"/>
        <v>320711001789.5235</v>
      </c>
      <c r="E44" s="84"/>
      <c r="F44">
        <f>Fig_futuro_Kaya!J44*10^6</f>
        <v>25510360076.574581</v>
      </c>
      <c r="G44">
        <f xml:space="preserve"> Fig_futuro_Kaya!R44</f>
        <v>12.284713915370617</v>
      </c>
      <c r="H44">
        <f t="shared" si="2"/>
        <v>313387475418.81079</v>
      </c>
      <c r="I44" s="84"/>
      <c r="J44">
        <f xml:space="preserve"> Fig_futuro_Kaya!J44*10^6</f>
        <v>25510360076.574581</v>
      </c>
      <c r="K44">
        <f xml:space="preserve"> Fig_futuro_Kaya!S44</f>
        <v>11.631884479417819</v>
      </c>
      <c r="L44">
        <f t="shared" si="3"/>
        <v>296733561439.06781</v>
      </c>
      <c r="M44" s="84"/>
      <c r="N44">
        <f xml:space="preserve"> Fig_futuro_Kaya!K44*10^6</f>
        <v>23519112496.672783</v>
      </c>
      <c r="O44">
        <f xml:space="preserve"> Fig_futuro_Kaya!Q44</f>
        <v>12.571794393604936</v>
      </c>
      <c r="P44">
        <f t="shared" si="4"/>
        <v>295677446628.23468</v>
      </c>
      <c r="Q44" s="84"/>
      <c r="R44">
        <f xml:space="preserve"> Fig_futuro_Kaya!K44*10^6</f>
        <v>23519112496.672783</v>
      </c>
      <c r="S44">
        <f xml:space="preserve"> Fig_futuro_Kaya!R44</f>
        <v>12.284713915370617</v>
      </c>
      <c r="T44">
        <f t="shared" si="5"/>
        <v>288925568565.04309</v>
      </c>
      <c r="U44" s="84"/>
      <c r="V44">
        <f xml:space="preserve"> Fig_futuro_Kaya!K44*10^6</f>
        <v>23519112496.672783</v>
      </c>
      <c r="W44">
        <f xml:space="preserve"> Fig_futuro_Kaya!S44</f>
        <v>11.631884479417819</v>
      </c>
      <c r="X44">
        <f t="shared" si="6"/>
        <v>273571599619.7298</v>
      </c>
      <c r="Y44" s="84"/>
      <c r="Z44">
        <f xml:space="preserve"> Fig_futuro_Kaya!L44*10^6</f>
        <v>29302824173.959503</v>
      </c>
      <c r="AA44">
        <f xml:space="preserve"> Fig_futuro_Kaya!Q44</f>
        <v>12.571794393604936</v>
      </c>
      <c r="AB44">
        <f t="shared" si="9"/>
        <v>368389080666.97528</v>
      </c>
      <c r="AC44" s="84"/>
      <c r="AD44">
        <f xml:space="preserve"> Fig_futuro_Kaya!L44*10^6</f>
        <v>29302824173.959503</v>
      </c>
      <c r="AE44">
        <f xml:space="preserve"> Fig_futuro_Kaya!R44</f>
        <v>12.284713915370617</v>
      </c>
      <c r="AF44">
        <f t="shared" si="7"/>
        <v>359976811889.49878</v>
      </c>
      <c r="AG44" s="85"/>
      <c r="AH44">
        <f xml:space="preserve"> Fig_futuro_Kaya!L44*10^6</f>
        <v>29302824173.959503</v>
      </c>
      <c r="AI44">
        <f>Fig_futuro_Kaya!S44</f>
        <v>11.631884479417819</v>
      </c>
      <c r="AJ44" s="47">
        <f t="shared" si="8"/>
        <v>340847065712.18878</v>
      </c>
    </row>
    <row r="45" spans="1:36" ht="15.75" x14ac:dyDescent="0.25">
      <c r="A45" s="76">
        <v>2041</v>
      </c>
      <c r="B45" s="83">
        <f xml:space="preserve"> Fig_futuro_Kaya!J45*10^6</f>
        <v>26057322846.722485</v>
      </c>
      <c r="C45" s="82">
        <f>Fig_futuro_Kaya!Q45</f>
        <v>12.451105167426327</v>
      </c>
      <c r="D45" s="83">
        <f t="shared" si="1"/>
        <v>324442467146.12244</v>
      </c>
      <c r="E45" s="84"/>
      <c r="F45">
        <f>Fig_futuro_Kaya!J45*10^6</f>
        <v>26057322846.722485</v>
      </c>
      <c r="G45">
        <f xml:space="preserve"> Fig_futuro_Kaya!R45</f>
        <v>12.136044354746071</v>
      </c>
      <c r="H45">
        <f t="shared" si="2"/>
        <v>316232825833.76221</v>
      </c>
      <c r="I45" s="84"/>
      <c r="J45">
        <f xml:space="preserve"> Fig_futuro_Kaya!J45*10^6</f>
        <v>26057322846.722485</v>
      </c>
      <c r="K45">
        <f xml:space="preserve"> Fig_futuro_Kaya!S45</f>
        <v>11.444813187266638</v>
      </c>
      <c r="L45">
        <f t="shared" si="3"/>
        <v>298221192141.03375</v>
      </c>
      <c r="M45" s="84"/>
      <c r="N45">
        <f xml:space="preserve"> Fig_futuro_Kaya!K45*10^6</f>
        <v>23901665042.078987</v>
      </c>
      <c r="O45">
        <f xml:space="preserve"> Fig_futuro_Kaya!Q45</f>
        <v>12.451105167426327</v>
      </c>
      <c r="P45">
        <f t="shared" si="4"/>
        <v>297602145115.52289</v>
      </c>
      <c r="Q45" s="84"/>
      <c r="R45">
        <f xml:space="preserve"> Fig_futuro_Kaya!K45*10^6</f>
        <v>23901665042.078987</v>
      </c>
      <c r="S45">
        <f xml:space="preserve"> Fig_futuro_Kaya!R45</f>
        <v>12.136044354746071</v>
      </c>
      <c r="T45">
        <f t="shared" si="5"/>
        <v>290071667102.95422</v>
      </c>
      <c r="U45" s="84"/>
      <c r="V45">
        <f xml:space="preserve"> Fig_futuro_Kaya!K45*10^6</f>
        <v>23901665042.078987</v>
      </c>
      <c r="W45">
        <f xml:space="preserve"> Fig_futuro_Kaya!S45</f>
        <v>11.444813187266638</v>
      </c>
      <c r="X45">
        <f t="shared" si="6"/>
        <v>273550091271.21558</v>
      </c>
      <c r="Y45" s="84"/>
      <c r="Z45">
        <f xml:space="preserve"> Fig_futuro_Kaya!L45*10^6</f>
        <v>30191503439.387672</v>
      </c>
      <c r="AA45">
        <f xml:space="preserve"> Fig_futuro_Kaya!Q45</f>
        <v>12.451105167426327</v>
      </c>
      <c r="AB45">
        <f t="shared" si="9"/>
        <v>375917584486.5296</v>
      </c>
      <c r="AC45" s="84"/>
      <c r="AD45">
        <f xml:space="preserve"> Fig_futuro_Kaya!L45*10^6</f>
        <v>30191503439.387672</v>
      </c>
      <c r="AE45">
        <f xml:space="preserve"> Fig_futuro_Kaya!R45</f>
        <v>12.136044354746071</v>
      </c>
      <c r="AF45">
        <f t="shared" si="7"/>
        <v>366405424876.87732</v>
      </c>
      <c r="AG45" s="85"/>
      <c r="AH45">
        <f xml:space="preserve"> Fig_futuro_Kaya!L45*10^6</f>
        <v>30191503439.387672</v>
      </c>
      <c r="AI45">
        <f>Fig_futuro_Kaya!S45</f>
        <v>11.444813187266638</v>
      </c>
      <c r="AJ45" s="47">
        <f t="shared" si="8"/>
        <v>345536116706.51007</v>
      </c>
    </row>
    <row r="46" spans="1:36" ht="15.75" x14ac:dyDescent="0.25">
      <c r="A46" s="76">
        <v>2042</v>
      </c>
      <c r="B46" s="83">
        <f xml:space="preserve"> Fig_futuro_Kaya!J46*10^6</f>
        <v>26616012941.417385</v>
      </c>
      <c r="C46" s="82">
        <f>Fig_futuro_Kaya!Q46</f>
        <v>12.331574557819033</v>
      </c>
      <c r="D46" s="83">
        <f t="shared" si="1"/>
        <v>328217348018.96478</v>
      </c>
      <c r="E46" s="84"/>
      <c r="F46">
        <f>Fig_futuro_Kaya!J46*10^6</f>
        <v>26616012941.417385</v>
      </c>
      <c r="G46">
        <f xml:space="preserve"> Fig_futuro_Kaya!R46</f>
        <v>11.987374794121525</v>
      </c>
      <c r="H46">
        <f t="shared" si="2"/>
        <v>319056122653.95905</v>
      </c>
      <c r="I46" s="84"/>
      <c r="J46">
        <f xml:space="preserve"> Fig_futuro_Kaya!J46*10^6</f>
        <v>26616012941.417385</v>
      </c>
      <c r="K46">
        <f xml:space="preserve"> Fig_futuro_Kaya!S46</f>
        <v>11.257741895115457</v>
      </c>
      <c r="L46">
        <f t="shared" si="3"/>
        <v>299636203971.52966</v>
      </c>
      <c r="M46" s="84"/>
      <c r="N46">
        <f xml:space="preserve"> Fig_futuro_Kaya!K46*10^6</f>
        <v>24290440035.292988</v>
      </c>
      <c r="O46">
        <f xml:space="preserve"> Fig_futuro_Kaya!Q46</f>
        <v>12.331574557819033</v>
      </c>
      <c r="P46">
        <f t="shared" si="4"/>
        <v>299539372337.44788</v>
      </c>
      <c r="Q46" s="84"/>
      <c r="R46">
        <f xml:space="preserve"> Fig_futuro_Kaya!K46*10^6</f>
        <v>24290440035.292988</v>
      </c>
      <c r="S46">
        <f xml:space="preserve"> Fig_futuro_Kaya!R46</f>
        <v>11.987374794121525</v>
      </c>
      <c r="T46">
        <f t="shared" si="5"/>
        <v>291178608617.19153</v>
      </c>
      <c r="U46" s="84"/>
      <c r="V46">
        <f xml:space="preserve"> Fig_futuro_Kaya!K46*10^6</f>
        <v>24290440035.292988</v>
      </c>
      <c r="W46">
        <f xml:space="preserve"> Fig_futuro_Kaya!S46</f>
        <v>11.257741895115457</v>
      </c>
      <c r="X46">
        <f t="shared" si="6"/>
        <v>273455504436.10764</v>
      </c>
      <c r="Y46" s="84"/>
      <c r="Z46">
        <f xml:space="preserve"> Fig_futuro_Kaya!L46*10^6</f>
        <v>31107134060.497929</v>
      </c>
      <c r="AA46">
        <f xml:space="preserve"> Fig_futuro_Kaya!Q46</f>
        <v>12.331574557819033</v>
      </c>
      <c r="AB46">
        <f t="shared" si="9"/>
        <v>383599942947.10211</v>
      </c>
      <c r="AC46" s="84"/>
      <c r="AD46">
        <f xml:space="preserve"> Fig_futuro_Kaya!L46*10^6</f>
        <v>31107134060.497929</v>
      </c>
      <c r="AE46">
        <f xml:space="preserve"> Fig_futuro_Kaya!R46</f>
        <v>11.987374794121525</v>
      </c>
      <c r="AF46">
        <f t="shared" si="7"/>
        <v>372892874754.17206</v>
      </c>
      <c r="AG46" s="85"/>
      <c r="AH46">
        <f xml:space="preserve"> Fig_futuro_Kaya!L46*10^6</f>
        <v>31107134060.497929</v>
      </c>
      <c r="AI46">
        <f>Fig_futuro_Kaya!S46</f>
        <v>11.257741895115457</v>
      </c>
      <c r="AJ46" s="47">
        <f t="shared" si="8"/>
        <v>350196086349.84052</v>
      </c>
    </row>
    <row r="47" spans="1:36" ht="15.75" x14ac:dyDescent="0.25">
      <c r="A47" s="76">
        <v>2043</v>
      </c>
      <c r="B47" s="83">
        <f xml:space="preserve"> Fig_futuro_Kaya!J47*10^6</f>
        <v>27186681803.99054</v>
      </c>
      <c r="C47" s="82">
        <f>Fig_futuro_Kaya!Q47</f>
        <v>12.21319144206397</v>
      </c>
      <c r="D47" s="83">
        <f t="shared" si="1"/>
        <v>332036149546.61353</v>
      </c>
      <c r="E47" s="84"/>
      <c r="F47">
        <f>Fig_futuro_Kaya!J47*10^6</f>
        <v>27186681803.99054</v>
      </c>
      <c r="G47">
        <f xml:space="preserve"> Fig_futuro_Kaya!R47</f>
        <v>11.838705233496979</v>
      </c>
      <c r="H47">
        <f t="shared" si="2"/>
        <v>321855112154.31989</v>
      </c>
      <c r="I47" s="84"/>
      <c r="J47">
        <f xml:space="preserve"> Fig_futuro_Kaya!J47*10^6</f>
        <v>27186681803.99054</v>
      </c>
      <c r="K47">
        <f xml:space="preserve"> Fig_futuro_Kaya!S47</f>
        <v>11.070670602964276</v>
      </c>
      <c r="L47">
        <f t="shared" si="3"/>
        <v>300974799039.58185</v>
      </c>
      <c r="M47" s="84"/>
      <c r="N47">
        <f xml:space="preserve"> Fig_futuro_Kaya!K47*10^6</f>
        <v>24685538688.180191</v>
      </c>
      <c r="O47">
        <f xml:space="preserve"> Fig_futuro_Kaya!Q47</f>
        <v>12.21319144206397</v>
      </c>
      <c r="P47">
        <f t="shared" si="4"/>
        <v>301489209849.22131</v>
      </c>
      <c r="Q47" s="84"/>
      <c r="R47">
        <f xml:space="preserve"> Fig_futuro_Kaya!K47*10^6</f>
        <v>24685538688.180191</v>
      </c>
      <c r="S47">
        <f xml:space="preserve"> Fig_futuro_Kaya!R47</f>
        <v>11.838705233496979</v>
      </c>
      <c r="T47">
        <f t="shared" si="5"/>
        <v>292244816059.45099</v>
      </c>
      <c r="U47" s="84"/>
      <c r="V47">
        <f xml:space="preserve"> Fig_futuro_Kaya!K47*10^6</f>
        <v>24685538688.180191</v>
      </c>
      <c r="W47">
        <f xml:space="preserve"> Fig_futuro_Kaya!S47</f>
        <v>11.070670602964276</v>
      </c>
      <c r="X47">
        <f t="shared" si="6"/>
        <v>273285467473.57376</v>
      </c>
      <c r="Y47" s="84"/>
      <c r="Z47">
        <f xml:space="preserve"> Fig_futuro_Kaya!L47*10^6</f>
        <v>32050533402.566319</v>
      </c>
      <c r="AA47">
        <f xml:space="preserve"> Fig_futuro_Kaya!Q47</f>
        <v>12.21319144206397</v>
      </c>
      <c r="AB47">
        <f t="shared" si="9"/>
        <v>391439300265.80835</v>
      </c>
      <c r="AC47" s="84"/>
      <c r="AD47">
        <f xml:space="preserve"> Fig_futuro_Kaya!L47*10^6</f>
        <v>32050533402.566319</v>
      </c>
      <c r="AE47">
        <f xml:space="preserve"> Fig_futuro_Kaya!R47</f>
        <v>11.838705233496979</v>
      </c>
      <c r="AF47">
        <f t="shared" si="7"/>
        <v>379436817529.3316</v>
      </c>
      <c r="AG47" s="85"/>
      <c r="AH47">
        <f xml:space="preserve"> Fig_futuro_Kaya!L47*10^6</f>
        <v>32050533402.566319</v>
      </c>
      <c r="AI47">
        <f>Fig_futuro_Kaya!S47</f>
        <v>11.070670602964276</v>
      </c>
      <c r="AJ47" s="47">
        <f t="shared" si="8"/>
        <v>354820897949.11554</v>
      </c>
    </row>
    <row r="48" spans="1:36" ht="15.75" x14ac:dyDescent="0.25">
      <c r="A48" s="76">
        <v>2044</v>
      </c>
      <c r="B48" s="83">
        <f xml:space="preserve"> Fig_futuro_Kaya!J48*10^6</f>
        <v>27769586268.92189</v>
      </c>
      <c r="C48" s="82">
        <f>Fig_futuro_Kaya!Q48</f>
        <v>12.095944804220155</v>
      </c>
      <c r="D48" s="83">
        <f t="shared" si="1"/>
        <v>335899382744.90912</v>
      </c>
      <c r="E48" s="84"/>
      <c r="F48">
        <f>Fig_futuro_Kaya!J48*10^6</f>
        <v>27769586268.92189</v>
      </c>
      <c r="G48">
        <f xml:space="preserve"> Fig_futuro_Kaya!R48</f>
        <v>11.690035672872433</v>
      </c>
      <c r="H48">
        <f t="shared" si="2"/>
        <v>324627454104.60541</v>
      </c>
      <c r="I48" s="84"/>
      <c r="J48">
        <f xml:space="preserve"> Fig_futuro_Kaya!J48*10^6</f>
        <v>27769586268.92189</v>
      </c>
      <c r="K48">
        <f xml:space="preserve"> Fig_futuro_Kaya!S48</f>
        <v>10.883599310813095</v>
      </c>
      <c r="L48">
        <f t="shared" si="3"/>
        <v>302233049978.00305</v>
      </c>
      <c r="M48" s="84"/>
      <c r="N48">
        <f xml:space="preserve"> Fig_futuro_Kaya!K48*10^6</f>
        <v>25087063858.877979</v>
      </c>
      <c r="O48">
        <f xml:space="preserve"> Fig_futuro_Kaya!Q48</f>
        <v>12.095944804220155</v>
      </c>
      <c r="P48">
        <f t="shared" si="4"/>
        <v>303451739736.93433</v>
      </c>
      <c r="Q48" s="84"/>
      <c r="R48">
        <f xml:space="preserve"> Fig_futuro_Kaya!K48*10^6</f>
        <v>25087063858.877979</v>
      </c>
      <c r="S48">
        <f xml:space="preserve"> Fig_futuro_Kaya!R48</f>
        <v>11.690035672872433</v>
      </c>
      <c r="T48">
        <f t="shared" si="5"/>
        <v>293268671437.91235</v>
      </c>
      <c r="U48" s="84"/>
      <c r="V48">
        <f xml:space="preserve"> Fig_futuro_Kaya!K48*10^6</f>
        <v>25087063858.877979</v>
      </c>
      <c r="W48">
        <f xml:space="preserve"> Fig_futuro_Kaya!S48</f>
        <v>10.883599310813095</v>
      </c>
      <c r="X48">
        <f t="shared" si="6"/>
        <v>273037550924.80847</v>
      </c>
      <c r="Y48" s="84"/>
      <c r="Z48">
        <f xml:space="preserve"> Fig_futuro_Kaya!L48*10^6</f>
        <v>33022543619.454735</v>
      </c>
      <c r="AA48">
        <f xml:space="preserve"> Fig_futuro_Kaya!Q48</f>
        <v>12.095944804220155</v>
      </c>
      <c r="AB48">
        <f t="shared" si="9"/>
        <v>399438864915.87689</v>
      </c>
      <c r="AC48" s="84"/>
      <c r="AD48">
        <f xml:space="preserve"> Fig_futuro_Kaya!L48*10^6</f>
        <v>33022543619.454735</v>
      </c>
      <c r="AE48">
        <f xml:space="preserve"> Fig_futuro_Kaya!R48</f>
        <v>11.690035672872433</v>
      </c>
      <c r="AF48">
        <f t="shared" si="7"/>
        <v>386034712920.4118</v>
      </c>
      <c r="AG48" s="85"/>
      <c r="AH48">
        <f xml:space="preserve"> Fig_futuro_Kaya!L48*10^6</f>
        <v>33022543619.454735</v>
      </c>
      <c r="AI48">
        <f>Fig_futuro_Kaya!S48</f>
        <v>10.883599310813095</v>
      </c>
      <c r="AJ48" s="47">
        <f t="shared" si="8"/>
        <v>359404132977.99292</v>
      </c>
    </row>
    <row r="49" spans="1:36" ht="15.75" x14ac:dyDescent="0.25">
      <c r="A49" s="76">
        <v>2045</v>
      </c>
      <c r="B49" s="83">
        <f xml:space="preserve"> Fig_futuro_Kaya!J49*10^6</f>
        <v>28364988677.430367</v>
      </c>
      <c r="C49" s="82">
        <f>Fig_futuro_Kaya!Q49</f>
        <v>11.979823734099641</v>
      </c>
      <c r="D49" s="83">
        <f t="shared" si="1"/>
        <v>339807564575.3479</v>
      </c>
      <c r="E49" s="84"/>
      <c r="F49">
        <f>Fig_futuro_Kaya!J49*10^6</f>
        <v>28364988677.430367</v>
      </c>
      <c r="G49">
        <f xml:space="preserve"> Fig_futuro_Kaya!R49</f>
        <v>11.541366112247887</v>
      </c>
      <c r="H49">
        <f t="shared" si="2"/>
        <v>327370719095.98987</v>
      </c>
      <c r="I49" s="84"/>
      <c r="J49">
        <f xml:space="preserve"> Fig_futuro_Kaya!J49*10^6</f>
        <v>28364988677.430367</v>
      </c>
      <c r="K49">
        <f xml:space="preserve"> Fig_futuro_Kaya!S49</f>
        <v>10.696528018661914</v>
      </c>
      <c r="L49">
        <f t="shared" si="3"/>
        <v>303406896137.16187</v>
      </c>
      <c r="M49" s="84"/>
      <c r="N49">
        <f xml:space="preserve"> Fig_futuro_Kaya!K49*10^6</f>
        <v>25495120078.573326</v>
      </c>
      <c r="O49">
        <f xml:space="preserve"> Fig_futuro_Kaya!Q49</f>
        <v>11.979823734099641</v>
      </c>
      <c r="P49">
        <f t="shared" si="4"/>
        <v>305427044621.01306</v>
      </c>
      <c r="Q49" s="84"/>
      <c r="R49">
        <f xml:space="preserve"> Fig_futuro_Kaya!K49*10^6</f>
        <v>25495120078.573326</v>
      </c>
      <c r="S49">
        <f xml:space="preserve"> Fig_futuro_Kaya!R49</f>
        <v>11.541366112247887</v>
      </c>
      <c r="T49">
        <f t="shared" si="5"/>
        <v>294248514902.53687</v>
      </c>
      <c r="U49" s="84"/>
      <c r="V49">
        <f xml:space="preserve"> Fig_futuro_Kaya!K49*10^6</f>
        <v>25495120078.573326</v>
      </c>
      <c r="W49">
        <f xml:space="preserve"> Fig_futuro_Kaya!S49</f>
        <v>10.696528018661914</v>
      </c>
      <c r="X49">
        <f t="shared" si="6"/>
        <v>272709266259.6095</v>
      </c>
      <c r="Y49" s="84"/>
      <c r="Z49">
        <f xml:space="preserve"> Fig_futuro_Kaya!L49*10^6</f>
        <v>34024032405.385006</v>
      </c>
      <c r="AA49">
        <f xml:space="preserve"> Fig_futuro_Kaya!Q49</f>
        <v>11.979823734099641</v>
      </c>
      <c r="AB49">
        <f t="shared" si="9"/>
        <v>407601910939.80658</v>
      </c>
      <c r="AC49" s="84"/>
      <c r="AD49">
        <f xml:space="preserve"> Fig_futuro_Kaya!L49*10^6</f>
        <v>34024032405.385006</v>
      </c>
      <c r="AE49">
        <f xml:space="preserve"> Fig_futuro_Kaya!R49</f>
        <v>11.541366112247887</v>
      </c>
      <c r="AF49">
        <f t="shared" si="7"/>
        <v>392683814605.53448</v>
      </c>
      <c r="AG49" s="85"/>
      <c r="AH49">
        <f xml:space="preserve"> Fig_futuro_Kaya!L49*10^6</f>
        <v>34024032405.385006</v>
      </c>
      <c r="AI49">
        <f>Fig_futuro_Kaya!S49</f>
        <v>10.696528018661914</v>
      </c>
      <c r="AJ49" s="47">
        <f t="shared" si="8"/>
        <v>363939015932.06165</v>
      </c>
    </row>
    <row r="50" spans="1:36" ht="15.75" x14ac:dyDescent="0.25">
      <c r="A50" s="76">
        <v>2046</v>
      </c>
      <c r="B50" s="83">
        <f xml:space="preserve"> Fig_futuro_Kaya!J50*10^6</f>
        <v>28973156995.543133</v>
      </c>
      <c r="C50" s="82">
        <f>Fig_futuro_Kaya!Q50</f>
        <v>11.864817426252284</v>
      </c>
      <c r="D50" s="83">
        <f t="shared" si="1"/>
        <v>343761218014.26343</v>
      </c>
      <c r="E50" s="84"/>
      <c r="F50">
        <f>Fig_futuro_Kaya!J50*10^6</f>
        <v>28973156995.543133</v>
      </c>
      <c r="G50">
        <f xml:space="preserve"> Fig_futuro_Kaya!R50</f>
        <v>11.392696551623342</v>
      </c>
      <c r="H50">
        <f t="shared" si="2"/>
        <v>330082385792.76593</v>
      </c>
      <c r="I50" s="84"/>
      <c r="J50">
        <f xml:space="preserve"> Fig_futuro_Kaya!J50*10^6</f>
        <v>28973156995.543133</v>
      </c>
      <c r="K50">
        <f xml:space="preserve"> Fig_futuro_Kaya!S50</f>
        <v>10.509456726510733</v>
      </c>
      <c r="L50">
        <f t="shared" si="3"/>
        <v>304492139675.06226</v>
      </c>
      <c r="M50" s="84"/>
      <c r="N50">
        <f xml:space="preserve"> Fig_futuro_Kaya!K50*10^6</f>
        <v>25909813578.715996</v>
      </c>
      <c r="O50">
        <f xml:space="preserve"> Fig_futuro_Kaya!Q50</f>
        <v>11.864817426252284</v>
      </c>
      <c r="P50">
        <f t="shared" si="4"/>
        <v>307415207659.69757</v>
      </c>
      <c r="Q50" s="84"/>
      <c r="R50">
        <f xml:space="preserve"> Fig_futuro_Kaya!K50*10^6</f>
        <v>25909813578.715996</v>
      </c>
      <c r="S50">
        <f xml:space="preserve"> Fig_futuro_Kaya!R50</f>
        <v>11.392696551623342</v>
      </c>
      <c r="T50">
        <f t="shared" si="5"/>
        <v>295182643811.44135</v>
      </c>
      <c r="U50" s="84"/>
      <c r="V50">
        <f xml:space="preserve"> Fig_futuro_Kaya!K50*10^6</f>
        <v>25909813578.715996</v>
      </c>
      <c r="W50">
        <f xml:space="preserve"> Fig_futuro_Kaya!S50</f>
        <v>10.509456726510733</v>
      </c>
      <c r="X50">
        <f t="shared" si="6"/>
        <v>272298064597.47595</v>
      </c>
      <c r="Y50" s="84"/>
      <c r="Z50">
        <f xml:space="preserve"> Fig_futuro_Kaya!L50*10^6</f>
        <v>35055893769.51223</v>
      </c>
      <c r="AA50">
        <f xml:space="preserve"> Fig_futuro_Kaya!Q50</f>
        <v>11.864817426252284</v>
      </c>
      <c r="AB50">
        <f t="shared" si="9"/>
        <v>415931779289.35754</v>
      </c>
      <c r="AC50" s="84"/>
      <c r="AD50">
        <f xml:space="preserve"> Fig_futuro_Kaya!L50*10^6</f>
        <v>35055893769.51223</v>
      </c>
      <c r="AE50">
        <f xml:space="preserve"> Fig_futuro_Kaya!R50</f>
        <v>11.392696551623342</v>
      </c>
      <c r="AF50">
        <f t="shared" si="7"/>
        <v>399381160061.99615</v>
      </c>
      <c r="AG50" s="85"/>
      <c r="AH50">
        <f xml:space="preserve"> Fig_futuro_Kaya!L50*10^6</f>
        <v>35055893769.51223</v>
      </c>
      <c r="AI50">
        <f>Fig_futuro_Kaya!S50</f>
        <v>10.509456726510733</v>
      </c>
      <c r="AJ50" s="47">
        <f t="shared" si="8"/>
        <v>368418398579.84601</v>
      </c>
    </row>
    <row r="51" spans="1:36" ht="15.75" x14ac:dyDescent="0.25">
      <c r="A51" s="76">
        <v>2047</v>
      </c>
      <c r="B51" s="83">
        <f xml:space="preserve"> Fig_futuro_Kaya!J51*10^6</f>
        <v>29594364934.695847</v>
      </c>
      <c r="C51" s="82">
        <f>Fig_futuro_Kaya!Q51</f>
        <v>11.750915178960261</v>
      </c>
      <c r="D51" s="83">
        <f t="shared" si="1"/>
        <v>347760872122.8067</v>
      </c>
      <c r="E51" s="84"/>
      <c r="F51">
        <f>Fig_futuro_Kaya!J51*10^6</f>
        <v>29594364934.695847</v>
      </c>
      <c r="G51">
        <f xml:space="preserve"> Fig_futuro_Kaya!R51</f>
        <v>11.244026990998796</v>
      </c>
      <c r="H51">
        <f t="shared" si="2"/>
        <v>332759838107.18842</v>
      </c>
      <c r="I51" s="84"/>
      <c r="J51">
        <f xml:space="preserve"> Fig_futuro_Kaya!J51*10^6</f>
        <v>29594364934.695847</v>
      </c>
      <c r="K51">
        <f xml:space="preserve"> Fig_futuro_Kaya!S51</f>
        <v>10.322385434359552</v>
      </c>
      <c r="L51">
        <f t="shared" si="3"/>
        <v>305484441541.02545</v>
      </c>
      <c r="M51" s="84"/>
      <c r="N51">
        <f xml:space="preserve"> Fig_futuro_Kaya!K51*10^6</f>
        <v>26331252318.674412</v>
      </c>
      <c r="O51">
        <f xml:space="preserve"> Fig_futuro_Kaya!Q51</f>
        <v>11.750915178960261</v>
      </c>
      <c r="P51">
        <f t="shared" si="4"/>
        <v>309416312552.5437</v>
      </c>
      <c r="Q51" s="84"/>
      <c r="R51">
        <f xml:space="preserve"> Fig_futuro_Kaya!K51*10^6</f>
        <v>26331252318.674412</v>
      </c>
      <c r="S51">
        <f xml:space="preserve"> Fig_futuro_Kaya!R51</f>
        <v>11.244026990998796</v>
      </c>
      <c r="T51">
        <f t="shared" si="5"/>
        <v>296069311777.97473</v>
      </c>
      <c r="U51" s="84"/>
      <c r="V51">
        <f xml:space="preserve"> Fig_futuro_Kaya!K51*10^6</f>
        <v>26331252318.674412</v>
      </c>
      <c r="W51">
        <f xml:space="preserve"> Fig_futuro_Kaya!S51</f>
        <v>10.322385434359552</v>
      </c>
      <c r="X51">
        <f t="shared" si="6"/>
        <v>271801335402.73093</v>
      </c>
      <c r="Y51" s="84"/>
      <c r="Z51">
        <f xml:space="preserve"> Fig_futuro_Kaya!L51*10^6</f>
        <v>36119048833.989021</v>
      </c>
      <c r="AA51">
        <f xml:space="preserve"> Fig_futuro_Kaya!Q51</f>
        <v>11.750915178960261</v>
      </c>
      <c r="AB51">
        <f t="shared" si="9"/>
        <v>424431879192.92853</v>
      </c>
      <c r="AC51" s="84"/>
      <c r="AD51">
        <f xml:space="preserve"> Fig_futuro_Kaya!L51*10^6</f>
        <v>36119048833.989021</v>
      </c>
      <c r="AE51">
        <f xml:space="preserve"> Fig_futuro_Kaya!R51</f>
        <v>11.244026990998796</v>
      </c>
      <c r="AF51">
        <f t="shared" si="7"/>
        <v>406123559978.57611</v>
      </c>
      <c r="AG51" s="85"/>
      <c r="AH51">
        <f xml:space="preserve"> Fig_futuro_Kaya!L51*10^6</f>
        <v>36119048833.989021</v>
      </c>
      <c r="AI51">
        <f>Fig_futuro_Kaya!S51</f>
        <v>10.322385434359552</v>
      </c>
      <c r="AJ51" s="47">
        <f t="shared" si="8"/>
        <v>372834743586.88965</v>
      </c>
    </row>
    <row r="52" spans="1:36" ht="15.75" x14ac:dyDescent="0.25">
      <c r="A52" s="76">
        <v>2048</v>
      </c>
      <c r="B52" s="83">
        <f xml:space="preserve"> Fig_futuro_Kaya!J52*10^6</f>
        <v>30228892074.918945</v>
      </c>
      <c r="C52" s="82">
        <f>Fig_futuro_Kaya!Q52</f>
        <v>11.638106393242241</v>
      </c>
      <c r="D52" s="83">
        <f t="shared" si="1"/>
        <v>351807062117.7439</v>
      </c>
      <c r="E52" s="84"/>
      <c r="F52">
        <f>Fig_futuro_Kaya!J52*10^6</f>
        <v>30228892074.918945</v>
      </c>
      <c r="G52">
        <f xml:space="preserve"> Fig_futuro_Kaya!R52</f>
        <v>11.09535743037425</v>
      </c>
      <c r="H52">
        <f t="shared" si="2"/>
        <v>335400362295.43323</v>
      </c>
      <c r="I52" s="84"/>
      <c r="J52">
        <f xml:space="preserve"> Fig_futuro_Kaya!J52*10^6</f>
        <v>30228892074.918945</v>
      </c>
      <c r="K52">
        <f xml:space="preserve"> Fig_futuro_Kaya!S52</f>
        <v>10.135314142208371</v>
      </c>
      <c r="L52">
        <f t="shared" si="3"/>
        <v>306379317350.21649</v>
      </c>
      <c r="M52" s="84"/>
      <c r="N52">
        <f xml:space="preserve"> Fig_futuro_Kaya!K52*10^6</f>
        <v>26759546013.841137</v>
      </c>
      <c r="O52">
        <f xml:space="preserve"> Fig_futuro_Kaya!Q52</f>
        <v>11.638106393242241</v>
      </c>
      <c r="P52">
        <f t="shared" si="4"/>
        <v>311430443543.94446</v>
      </c>
      <c r="Q52" s="84"/>
      <c r="R52">
        <f xml:space="preserve"> Fig_futuro_Kaya!K52*10^6</f>
        <v>26759546013.841137</v>
      </c>
      <c r="S52">
        <f xml:space="preserve"> Fig_futuro_Kaya!R52</f>
        <v>11.09535743037425</v>
      </c>
      <c r="T52">
        <f t="shared" si="5"/>
        <v>296906727698.11389</v>
      </c>
      <c r="U52" s="84"/>
      <c r="V52">
        <f xml:space="preserve"> Fig_futuro_Kaya!K52*10^6</f>
        <v>26759546013.841137</v>
      </c>
      <c r="W52">
        <f xml:space="preserve"> Fig_futuro_Kaya!S52</f>
        <v>10.135314142208371</v>
      </c>
      <c r="X52">
        <f t="shared" si="6"/>
        <v>271216405153.1597</v>
      </c>
      <c r="Y52" s="84"/>
      <c r="Z52">
        <f xml:space="preserve"> Fig_futuro_Kaya!L52*10^6</f>
        <v>37214446656.233002</v>
      </c>
      <c r="AA52">
        <f xml:space="preserve"> Fig_futuro_Kaya!Q52</f>
        <v>11.638106393242241</v>
      </c>
      <c r="AB52">
        <f t="shared" si="9"/>
        <v>433105689550.87762</v>
      </c>
      <c r="AC52" s="84"/>
      <c r="AD52">
        <f xml:space="preserve"> Fig_futuro_Kaya!L52*10^6</f>
        <v>37214446656.233002</v>
      </c>
      <c r="AE52">
        <f xml:space="preserve"> Fig_futuro_Kaya!R52</f>
        <v>11.09535743037425</v>
      </c>
      <c r="AF52">
        <f t="shared" si="7"/>
        <v>412907587224.50098</v>
      </c>
      <c r="AG52" s="85"/>
      <c r="AH52">
        <f xml:space="preserve"> Fig_futuro_Kaya!L52*10^6</f>
        <v>37214446656.233002</v>
      </c>
      <c r="AI52">
        <f>Fig_futuro_Kaya!S52</f>
        <v>10.135314142208371</v>
      </c>
      <c r="AJ52" s="47">
        <f>AH52*AI52</f>
        <v>377180107489.37738</v>
      </c>
    </row>
    <row r="53" spans="1:36" ht="15.75" x14ac:dyDescent="0.25">
      <c r="A53" s="76">
        <v>2049</v>
      </c>
      <c r="B53" s="83">
        <f xml:space="preserve"> Fig_futuro_Kaya!J53*10^6</f>
        <v>30877023990.664921</v>
      </c>
      <c r="C53" s="82">
        <f>Fig_futuro_Kaya!Q53</f>
        <v>11.526380571867115</v>
      </c>
      <c r="D53" s="83">
        <f t="shared" si="1"/>
        <v>355900329443.07495</v>
      </c>
      <c r="E53" s="84"/>
      <c r="F53">
        <f>Fig_futuro_Kaya!J53*10^6</f>
        <v>30877023990.664921</v>
      </c>
      <c r="G53">
        <f xml:space="preserve"> Fig_futuro_Kaya!R53</f>
        <v>10.946687869749704</v>
      </c>
      <c r="H53">
        <f t="shared" si="2"/>
        <v>338001143972.58228</v>
      </c>
      <c r="I53" s="84"/>
      <c r="J53">
        <f xml:space="preserve"> Fig_futuro_Kaya!J53*10^6</f>
        <v>30877023990.664921</v>
      </c>
      <c r="K53">
        <f xml:space="preserve"> Fig_futuro_Kaya!S53</f>
        <v>9.9482428500571896</v>
      </c>
      <c r="L53">
        <f t="shared" si="3"/>
        <v>307172133146.17664</v>
      </c>
      <c r="M53" s="84"/>
      <c r="N53">
        <f xml:space="preserve"> Fig_futuro_Kaya!K53*10^6</f>
        <v>27194806164.19577</v>
      </c>
      <c r="O53">
        <f xml:space="preserve"> Fig_futuro_Kaya!Q53</f>
        <v>11.526380571867115</v>
      </c>
      <c r="P53">
        <f t="shared" si="4"/>
        <v>313457685426.67816</v>
      </c>
      <c r="Q53" s="84"/>
      <c r="R53">
        <f xml:space="preserve"> Fig_futuro_Kaya!K53*10^6</f>
        <v>27194806164.19577</v>
      </c>
      <c r="S53">
        <f xml:space="preserve"> Fig_futuro_Kaya!R53</f>
        <v>10.946687869749704</v>
      </c>
      <c r="T53">
        <f t="shared" si="5"/>
        <v>297693054757.79633</v>
      </c>
      <c r="U53" s="84"/>
      <c r="V53">
        <f xml:space="preserve"> Fig_futuro_Kaya!K53*10^6</f>
        <v>27194806164.19577</v>
      </c>
      <c r="W53">
        <f xml:space="preserve"> Fig_futuro_Kaya!S53</f>
        <v>9.9482428500571896</v>
      </c>
      <c r="X53">
        <f t="shared" si="6"/>
        <v>270540535981.65176</v>
      </c>
      <c r="Y53" s="84"/>
      <c r="Z53">
        <f xml:space="preserve"> Fig_futuro_Kaya!L53*10^6</f>
        <v>38343065076.131485</v>
      </c>
      <c r="AA53">
        <f xml:space="preserve"> Fig_futuro_Kaya!Q53</f>
        <v>11.526380571867115</v>
      </c>
      <c r="AB53">
        <f t="shared" si="9"/>
        <v>441956760359.35846</v>
      </c>
      <c r="AC53" s="84"/>
      <c r="AD53">
        <f xml:space="preserve"> Fig_futuro_Kaya!L53*10^6</f>
        <v>38343065076.131485</v>
      </c>
      <c r="AE53">
        <f xml:space="preserve"> Fig_futuro_Kaya!R53</f>
        <v>10.946687869749704</v>
      </c>
      <c r="AF53">
        <f t="shared" si="7"/>
        <v>419729565357.91205</v>
      </c>
      <c r="AG53" s="85"/>
      <c r="AH53">
        <f xml:space="preserve"> Fig_futuro_Kaya!L53*10^6</f>
        <v>38343065076.131485</v>
      </c>
      <c r="AI53">
        <f>Fig_futuro_Kaya!S53</f>
        <v>9.9482428500571896</v>
      </c>
      <c r="AJ53" s="47">
        <f t="shared" si="8"/>
        <v>381446122992.90259</v>
      </c>
    </row>
    <row r="54" spans="1:36" ht="15.75" x14ac:dyDescent="0.25">
      <c r="A54" s="95">
        <v>2050</v>
      </c>
      <c r="B54" s="96">
        <f xml:space="preserve"> Fig_futuro_Kaya!J54*10^6</f>
        <v>31539052379.333801</v>
      </c>
      <c r="C54" s="97">
        <f>Fig_futuro_Kaya!Q54</f>
        <v>11.41572731837719</v>
      </c>
      <c r="D54" s="114">
        <f t="shared" si="1"/>
        <v>360041221842.48999</v>
      </c>
      <c r="E54" s="94"/>
      <c r="F54" s="91">
        <f>Fig_futuro_Kaya!J54*10^6</f>
        <v>31539052379.333801</v>
      </c>
      <c r="G54" s="91">
        <f xml:space="preserve"> Fig_futuro_Kaya!R54</f>
        <v>10.798018309125176</v>
      </c>
      <c r="H54" s="91">
        <f t="shared" si="2"/>
        <v>340559265044.50433</v>
      </c>
      <c r="I54" s="94"/>
      <c r="J54" s="91">
        <f xml:space="preserve"> Fig_futuro_Kaya!J54*10^6</f>
        <v>31539052379.333801</v>
      </c>
      <c r="K54" s="91">
        <f xml:space="preserve"> Fig_futuro_Kaya!S54</f>
        <v>9.7611715579060245</v>
      </c>
      <c r="L54" s="91">
        <f t="shared" si="3"/>
        <v>307858101048.46143</v>
      </c>
      <c r="M54" s="94"/>
      <c r="N54" s="91">
        <f xml:space="preserve"> Fig_futuro_Kaya!K54*10^6</f>
        <v>27637146083.332287</v>
      </c>
      <c r="O54" s="91">
        <f xml:space="preserve"> Fig_futuro_Kaya!Q54</f>
        <v>11.41572731837719</v>
      </c>
      <c r="P54" s="91">
        <f t="shared" si="4"/>
        <v>315498123545.47754</v>
      </c>
      <c r="Q54" s="94"/>
      <c r="R54" s="91">
        <f xml:space="preserve"> Fig_futuro_Kaya!K54*10^6</f>
        <v>27637146083.332287</v>
      </c>
      <c r="S54" s="91">
        <f xml:space="preserve"> Fig_futuro_Kaya!R54</f>
        <v>10.798018309125176</v>
      </c>
      <c r="T54" s="91">
        <f t="shared" si="5"/>
        <v>298426409419.78918</v>
      </c>
      <c r="U54" s="94"/>
      <c r="V54" s="91">
        <f xml:space="preserve"> Fig_futuro_Kaya!K54*10^6</f>
        <v>27637146083.332287</v>
      </c>
      <c r="W54" s="91">
        <f xml:space="preserve"> Fig_futuro_Kaya!S54</f>
        <v>9.7611715579060245</v>
      </c>
      <c r="X54" s="91">
        <f t="shared" si="6"/>
        <v>269770924290.31702</v>
      </c>
      <c r="Y54" s="94"/>
      <c r="Z54" s="91">
        <f xml:space="preserve"> Fig_futuro_Kaya!L54*10^6</f>
        <v>39505911588.939705</v>
      </c>
      <c r="AA54" s="91">
        <f xml:space="preserve"> Fig_futuro_Kaya!Q54</f>
        <v>11.41572731837719</v>
      </c>
      <c r="AB54" s="91">
        <f t="shared" si="9"/>
        <v>450988714163.25299</v>
      </c>
      <c r="AC54" s="94"/>
      <c r="AD54" s="91">
        <f xml:space="preserve"> Fig_futuro_Kaya!L54*10^6</f>
        <v>39505911588.939705</v>
      </c>
      <c r="AE54" s="91">
        <f xml:space="preserve"> Fig_futuro_Kaya!R54</f>
        <v>10.798018309125176</v>
      </c>
      <c r="AF54" s="91">
        <f t="shared" si="7"/>
        <v>426585556656.05139</v>
      </c>
      <c r="AG54" s="92"/>
      <c r="AH54" s="91">
        <f xml:space="preserve"> Fig_futuro_Kaya!L54*10^6</f>
        <v>39505911588.939705</v>
      </c>
      <c r="AI54" s="91">
        <f>Fig_futuro_Kaya!S54</f>
        <v>9.7611715579060245</v>
      </c>
      <c r="AJ54" s="99">
        <f t="shared" si="8"/>
        <v>385623980571.10828</v>
      </c>
    </row>
    <row r="55" spans="1:36" ht="15.75" x14ac:dyDescent="0.25">
      <c r="A55" s="59"/>
      <c r="B55" s="83"/>
      <c r="C55" s="82"/>
      <c r="D55" s="83"/>
      <c r="E55" s="59"/>
      <c r="F55" s="59"/>
      <c r="G55" s="59"/>
      <c r="H55" s="59"/>
      <c r="I55" s="86"/>
      <c r="J55" s="59"/>
      <c r="K55" s="59"/>
      <c r="L55" s="59"/>
    </row>
    <row r="56" spans="1:36" ht="15.75" x14ac:dyDescent="0.25">
      <c r="M56" s="59"/>
      <c r="N56" s="59"/>
      <c r="O56" s="86"/>
      <c r="P56" s="82"/>
      <c r="Q56" s="83"/>
      <c r="R56" s="82"/>
      <c r="S56" s="82"/>
      <c r="T56" s="82"/>
    </row>
    <row r="58" spans="1:36" ht="15.75" x14ac:dyDescent="0.25">
      <c r="A58" s="81"/>
    </row>
    <row r="59" spans="1:36" ht="15.75" x14ac:dyDescent="0.25">
      <c r="A59" s="81"/>
    </row>
    <row r="60" spans="1:36" ht="15.75" x14ac:dyDescent="0.25">
      <c r="A60" s="81"/>
    </row>
    <row r="61" spans="1:36" ht="15.75" x14ac:dyDescent="0.25">
      <c r="A61" s="81"/>
    </row>
    <row r="62" spans="1:36" ht="15.75" x14ac:dyDescent="0.25">
      <c r="A62" s="81"/>
    </row>
    <row r="63" spans="1:36" ht="15.75" x14ac:dyDescent="0.25">
      <c r="A63" s="81"/>
    </row>
    <row r="64" spans="1:36" ht="15.75" x14ac:dyDescent="0.25">
      <c r="A64" s="81"/>
    </row>
    <row r="65" spans="1:1" ht="15.75" x14ac:dyDescent="0.25">
      <c r="A65" s="81"/>
    </row>
    <row r="66" spans="1:1" ht="15.75" x14ac:dyDescent="0.25">
      <c r="A66" s="81"/>
    </row>
    <row r="67" spans="1:1" ht="15.75" x14ac:dyDescent="0.25">
      <c r="A67" s="81"/>
    </row>
    <row r="68" spans="1:1" ht="15.75" x14ac:dyDescent="0.25">
      <c r="A68" s="81"/>
    </row>
    <row r="69" spans="1:1" ht="15.75" x14ac:dyDescent="0.25">
      <c r="A69" s="81"/>
    </row>
    <row r="70" spans="1:1" ht="15.75" x14ac:dyDescent="0.25">
      <c r="A70" s="81"/>
    </row>
    <row r="71" spans="1:1" ht="15.75" x14ac:dyDescent="0.25">
      <c r="A71" s="81"/>
    </row>
    <row r="72" spans="1:1" ht="15.75" x14ac:dyDescent="0.25">
      <c r="A72" s="81"/>
    </row>
    <row r="73" spans="1:1" ht="15.75" x14ac:dyDescent="0.25">
      <c r="A73" s="81"/>
    </row>
    <row r="74" spans="1:1" ht="15.75" x14ac:dyDescent="0.25">
      <c r="A74" s="81"/>
    </row>
    <row r="75" spans="1:1" ht="15.75" x14ac:dyDescent="0.25">
      <c r="A75" s="81"/>
    </row>
    <row r="76" spans="1:1" ht="15.75" x14ac:dyDescent="0.25">
      <c r="A76" s="81"/>
    </row>
    <row r="77" spans="1:1" ht="15.75" x14ac:dyDescent="0.25">
      <c r="A77" s="81"/>
    </row>
    <row r="78" spans="1:1" ht="15.75" x14ac:dyDescent="0.25">
      <c r="A78" s="81"/>
    </row>
    <row r="79" spans="1:1" ht="15.75" x14ac:dyDescent="0.25">
      <c r="A79" s="81"/>
    </row>
    <row r="80" spans="1:1" ht="15.75" x14ac:dyDescent="0.25">
      <c r="A80" s="81"/>
    </row>
    <row r="81" spans="1:1" ht="15.75" x14ac:dyDescent="0.25">
      <c r="A81" s="81"/>
    </row>
    <row r="82" spans="1:1" ht="15.75" x14ac:dyDescent="0.25">
      <c r="A82" s="81"/>
    </row>
    <row r="83" spans="1:1" ht="15.75" x14ac:dyDescent="0.25">
      <c r="A83" s="81"/>
    </row>
    <row r="84" spans="1:1" ht="15.75" x14ac:dyDescent="0.25">
      <c r="A84" s="81"/>
    </row>
    <row r="87" spans="1:1" ht="15.75" x14ac:dyDescent="0.25">
      <c r="A87" s="90"/>
    </row>
    <row r="88" spans="1:1" ht="15.75" x14ac:dyDescent="0.25">
      <c r="A88" s="81"/>
    </row>
    <row r="89" spans="1:1" ht="15.75" x14ac:dyDescent="0.25">
      <c r="A89" s="81"/>
    </row>
    <row r="90" spans="1:1" ht="15.75" x14ac:dyDescent="0.25">
      <c r="A90" s="81"/>
    </row>
    <row r="91" spans="1:1" ht="15.75" x14ac:dyDescent="0.25">
      <c r="A91" s="81"/>
    </row>
    <row r="92" spans="1:1" ht="15.75" x14ac:dyDescent="0.25">
      <c r="A92" s="81"/>
    </row>
    <row r="93" spans="1:1" ht="15.75" x14ac:dyDescent="0.25">
      <c r="A93" s="81"/>
    </row>
    <row r="94" spans="1:1" ht="15.75" x14ac:dyDescent="0.25">
      <c r="A94" s="81"/>
    </row>
    <row r="95" spans="1:1" ht="15.75" x14ac:dyDescent="0.25">
      <c r="A95" s="81"/>
    </row>
    <row r="96" spans="1:1" ht="15.75" x14ac:dyDescent="0.25">
      <c r="A96" s="81"/>
    </row>
    <row r="97" spans="1:1" ht="15.75" x14ac:dyDescent="0.25">
      <c r="A97" s="81"/>
    </row>
    <row r="98" spans="1:1" ht="15.75" x14ac:dyDescent="0.25">
      <c r="A98" s="81"/>
    </row>
    <row r="99" spans="1:1" ht="15.75" x14ac:dyDescent="0.25">
      <c r="A99" s="81"/>
    </row>
    <row r="100" spans="1:1" ht="15.75" x14ac:dyDescent="0.25">
      <c r="A100" s="81"/>
    </row>
    <row r="101" spans="1:1" ht="15.75" x14ac:dyDescent="0.25">
      <c r="A101" s="81"/>
    </row>
    <row r="102" spans="1:1" ht="15.75" x14ac:dyDescent="0.25">
      <c r="A102" s="81"/>
    </row>
    <row r="103" spans="1:1" ht="15.75" x14ac:dyDescent="0.25">
      <c r="A103" s="81"/>
    </row>
    <row r="104" spans="1:1" ht="15.75" x14ac:dyDescent="0.25">
      <c r="A104" s="81"/>
    </row>
    <row r="105" spans="1:1" ht="15.75" x14ac:dyDescent="0.25">
      <c r="A105" s="81"/>
    </row>
    <row r="106" spans="1:1" ht="15.75" x14ac:dyDescent="0.25">
      <c r="A106" s="81"/>
    </row>
    <row r="107" spans="1:1" ht="15.75" x14ac:dyDescent="0.25">
      <c r="A107" s="81"/>
    </row>
    <row r="108" spans="1:1" ht="15.75" x14ac:dyDescent="0.25">
      <c r="A108" s="81"/>
    </row>
    <row r="109" spans="1:1" ht="15.75" x14ac:dyDescent="0.25">
      <c r="A109" s="81"/>
    </row>
    <row r="110" spans="1:1" ht="15.75" x14ac:dyDescent="0.25">
      <c r="A110" s="81"/>
    </row>
    <row r="111" spans="1:1" ht="15.75" x14ac:dyDescent="0.25">
      <c r="A111" s="81"/>
    </row>
    <row r="112" spans="1:1" ht="15.75" x14ac:dyDescent="0.25">
      <c r="A112" s="81"/>
    </row>
    <row r="113" spans="1:1" ht="15.75" x14ac:dyDescent="0.25">
      <c r="A113" s="81"/>
    </row>
    <row r="114" spans="1:1" ht="15.75" x14ac:dyDescent="0.25">
      <c r="A114" s="81"/>
    </row>
  </sheetData>
  <mergeCells count="13">
    <mergeCell ref="A2:A3"/>
    <mergeCell ref="N1:X1"/>
    <mergeCell ref="Z1:AJ1"/>
    <mergeCell ref="A1:L1"/>
    <mergeCell ref="B2:D2"/>
    <mergeCell ref="Z2:AB2"/>
    <mergeCell ref="N2:P2"/>
    <mergeCell ref="F2:H2"/>
    <mergeCell ref="J2:L2"/>
    <mergeCell ref="R2:T2"/>
    <mergeCell ref="V2:X2"/>
    <mergeCell ref="AD2:AF2"/>
    <mergeCell ref="AH2:AJ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64A8A-67AB-4904-8935-B2E9E5DC590C}">
  <dimension ref="A1:R328"/>
  <sheetViews>
    <sheetView topLeftCell="A299" workbookViewId="0">
      <selection activeCell="R327" sqref="R327"/>
    </sheetView>
  </sheetViews>
  <sheetFormatPr defaultRowHeight="15" x14ac:dyDescent="0.25"/>
  <sheetData>
    <row r="1" spans="1:18" x14ac:dyDescent="0.25">
      <c r="A1" s="23" t="s">
        <v>264</v>
      </c>
      <c r="B1" s="23" t="s">
        <v>265</v>
      </c>
      <c r="C1" s="23" t="s">
        <v>266</v>
      </c>
      <c r="D1" s="23" t="s">
        <v>267</v>
      </c>
      <c r="E1" s="23" t="s">
        <v>268</v>
      </c>
      <c r="F1" s="23" t="s">
        <v>269</v>
      </c>
      <c r="G1" s="23" t="s">
        <v>270</v>
      </c>
      <c r="H1" s="23" t="s">
        <v>271</v>
      </c>
      <c r="I1" s="23" t="s">
        <v>272</v>
      </c>
      <c r="J1" s="23" t="s">
        <v>273</v>
      </c>
      <c r="K1" s="23" t="s">
        <v>274</v>
      </c>
      <c r="L1" s="23" t="s">
        <v>275</v>
      </c>
      <c r="M1" s="23" t="s">
        <v>276</v>
      </c>
      <c r="N1" s="23" t="s">
        <v>277</v>
      </c>
      <c r="O1" s="23" t="s">
        <v>278</v>
      </c>
      <c r="P1" s="23" t="s">
        <v>279</v>
      </c>
      <c r="Q1" s="23" t="s">
        <v>280</v>
      </c>
    </row>
    <row r="2" spans="1:18" x14ac:dyDescent="0.25">
      <c r="A2" s="5" t="s">
        <v>281</v>
      </c>
      <c r="B2" s="5"/>
      <c r="C2" s="173">
        <v>2.2521300000000002</v>
      </c>
      <c r="D2" s="173">
        <v>2.2541199999999995</v>
      </c>
      <c r="E2" s="173">
        <v>2.267382</v>
      </c>
      <c r="F2" s="173">
        <v>2.3016439999999996</v>
      </c>
      <c r="G2" s="173">
        <v>2.2829040000000003</v>
      </c>
      <c r="H2" s="5"/>
      <c r="I2" s="5"/>
      <c r="J2" s="5"/>
      <c r="K2" s="5"/>
      <c r="L2" s="5"/>
      <c r="M2" s="5"/>
      <c r="N2" s="5"/>
      <c r="O2" s="5"/>
      <c r="P2" s="5"/>
      <c r="Q2" s="5"/>
      <c r="R2">
        <f t="shared" ref="R2:R65" si="0">SUM(B2:Q2)/COUNT(B2:Q2)</f>
        <v>2.271636</v>
      </c>
    </row>
    <row r="3" spans="1:18" x14ac:dyDescent="0.25">
      <c r="A3" s="5" t="s">
        <v>282</v>
      </c>
      <c r="B3" s="5"/>
      <c r="C3" s="173">
        <v>2.1629300000000007</v>
      </c>
      <c r="D3" s="173">
        <v>2.1649180000000001</v>
      </c>
      <c r="E3" s="173">
        <v>2.1781859999999997</v>
      </c>
      <c r="F3" s="173">
        <v>2.2124659999999996</v>
      </c>
      <c r="G3" s="173">
        <v>2.1937040000000003</v>
      </c>
      <c r="H3" s="5"/>
      <c r="I3" s="5"/>
      <c r="J3" s="5"/>
      <c r="K3" s="5"/>
      <c r="L3" s="5"/>
      <c r="M3" s="5"/>
      <c r="N3" s="5"/>
      <c r="O3" s="5"/>
      <c r="P3" s="5"/>
      <c r="Q3" s="5"/>
      <c r="R3">
        <f t="shared" si="0"/>
        <v>2.1824408000000002</v>
      </c>
    </row>
    <row r="4" spans="1:18" x14ac:dyDescent="0.25">
      <c r="A4" s="5" t="s">
        <v>283</v>
      </c>
      <c r="B4" s="5"/>
      <c r="C4" s="173">
        <v>2.1159966666666672</v>
      </c>
      <c r="D4" s="173">
        <v>2.1158933333333336</v>
      </c>
      <c r="E4" s="173">
        <v>2.1312500000000001</v>
      </c>
      <c r="F4" s="173">
        <v>2.16899</v>
      </c>
      <c r="G4" s="173">
        <v>2.1512066666666669</v>
      </c>
      <c r="H4" s="5"/>
      <c r="I4" s="5"/>
      <c r="J4" s="5"/>
      <c r="K4" s="5"/>
      <c r="L4" s="5"/>
      <c r="M4" s="5"/>
      <c r="N4" s="5"/>
      <c r="O4" s="5"/>
      <c r="P4" s="5"/>
      <c r="Q4" s="5"/>
      <c r="R4">
        <f t="shared" si="0"/>
        <v>2.1366673333333339</v>
      </c>
    </row>
    <row r="5" spans="1:18" x14ac:dyDescent="0.25">
      <c r="A5" s="5" t="s">
        <v>284</v>
      </c>
      <c r="B5" s="5"/>
      <c r="C5" s="173">
        <v>2.0158100000000001</v>
      </c>
      <c r="D5" s="173">
        <v>2.0149780000000002</v>
      </c>
      <c r="E5" s="173">
        <v>2.031088</v>
      </c>
      <c r="F5" s="173">
        <v>2.0700720000000001</v>
      </c>
      <c r="G5" s="173">
        <v>2.0525480000000003</v>
      </c>
      <c r="H5" s="5"/>
      <c r="I5" s="5"/>
      <c r="J5" s="5"/>
      <c r="K5" s="5"/>
      <c r="L5" s="5"/>
      <c r="M5" s="5"/>
      <c r="N5" s="5"/>
      <c r="O5" s="5"/>
      <c r="P5" s="5"/>
      <c r="Q5" s="5"/>
      <c r="R5">
        <f t="shared" si="0"/>
        <v>2.0368991999999997</v>
      </c>
    </row>
    <row r="6" spans="1:18" x14ac:dyDescent="0.25">
      <c r="A6" s="5" t="s">
        <v>285</v>
      </c>
      <c r="B6" s="5"/>
      <c r="C6" s="173">
        <v>2.0390999999999999</v>
      </c>
      <c r="D6" s="173">
        <v>2.0347</v>
      </c>
      <c r="E6" s="173">
        <v>2.0543999999999998</v>
      </c>
      <c r="F6" s="173">
        <v>2.0992000000000002</v>
      </c>
      <c r="G6" s="173">
        <v>2.0832999999999999</v>
      </c>
      <c r="H6" s="5"/>
      <c r="I6" s="5"/>
      <c r="J6" s="5"/>
      <c r="K6" s="5"/>
      <c r="L6" s="5"/>
      <c r="M6" s="5"/>
      <c r="N6" s="5"/>
      <c r="O6" s="5"/>
      <c r="P6" s="5"/>
      <c r="Q6" s="5"/>
      <c r="R6">
        <f t="shared" si="0"/>
        <v>2.0621399999999999</v>
      </c>
    </row>
    <row r="7" spans="1:18" x14ac:dyDescent="0.25">
      <c r="A7" s="5" t="s">
        <v>286</v>
      </c>
      <c r="B7" s="5"/>
      <c r="C7" s="173">
        <v>2.0306000000000002</v>
      </c>
      <c r="D7" s="173">
        <v>2.0259</v>
      </c>
      <c r="E7" s="173">
        <v>2.0457999999999998</v>
      </c>
      <c r="F7" s="173">
        <v>2.0912000000000002</v>
      </c>
      <c r="G7" s="173">
        <v>2.0754999999999999</v>
      </c>
      <c r="H7" s="5"/>
      <c r="I7" s="5"/>
      <c r="J7" s="5"/>
      <c r="K7" s="5"/>
      <c r="L7" s="5"/>
      <c r="M7" s="5"/>
      <c r="N7" s="5"/>
      <c r="O7" s="5"/>
      <c r="P7" s="5"/>
      <c r="Q7" s="5"/>
      <c r="R7">
        <f t="shared" si="0"/>
        <v>2.0537999999999998</v>
      </c>
    </row>
    <row r="8" spans="1:18" x14ac:dyDescent="0.25">
      <c r="A8" s="5" t="s">
        <v>287</v>
      </c>
      <c r="B8" s="5"/>
      <c r="C8" s="173">
        <v>1.9278139999999999</v>
      </c>
      <c r="D8" s="173">
        <v>1.9273699999999998</v>
      </c>
      <c r="E8" s="173">
        <v>1.9430959999999997</v>
      </c>
      <c r="F8" s="173">
        <v>1.9814479999999999</v>
      </c>
      <c r="G8" s="173">
        <v>1.9637380000000002</v>
      </c>
      <c r="H8" s="5"/>
      <c r="I8" s="5"/>
      <c r="J8" s="5"/>
      <c r="K8" s="5"/>
      <c r="L8" s="5"/>
      <c r="M8" s="5"/>
      <c r="N8" s="5"/>
      <c r="O8" s="5"/>
      <c r="P8" s="5"/>
      <c r="Q8" s="5"/>
      <c r="R8">
        <f t="shared" si="0"/>
        <v>1.9486931999999997</v>
      </c>
    </row>
    <row r="9" spans="1:18" x14ac:dyDescent="0.25">
      <c r="A9" s="5" t="s">
        <v>288</v>
      </c>
      <c r="B9" s="5"/>
      <c r="C9" s="173">
        <v>1.7808340534747114</v>
      </c>
      <c r="D9" s="173">
        <v>1.8031898084312392</v>
      </c>
      <c r="E9" s="173">
        <v>1.8104075421747521</v>
      </c>
      <c r="F9" s="173">
        <v>1.8305730028121741</v>
      </c>
      <c r="G9" s="173">
        <v>1.8106950523092094</v>
      </c>
      <c r="H9" s="5"/>
      <c r="I9" s="5"/>
      <c r="J9" s="5"/>
      <c r="K9" s="5"/>
      <c r="L9" s="5"/>
      <c r="M9" s="5"/>
      <c r="N9" s="5"/>
      <c r="O9" s="5"/>
      <c r="P9" s="5"/>
      <c r="Q9" s="5"/>
      <c r="R9">
        <f t="shared" si="0"/>
        <v>1.8071398918404171</v>
      </c>
    </row>
    <row r="10" spans="1:18" x14ac:dyDescent="0.25">
      <c r="A10" s="5" t="s">
        <v>289</v>
      </c>
      <c r="B10" s="5"/>
      <c r="C10" s="173">
        <v>1.7772433333333333</v>
      </c>
      <c r="D10" s="173">
        <v>1.7800333333333334</v>
      </c>
      <c r="E10" s="173">
        <v>1.7923933333333333</v>
      </c>
      <c r="F10" s="173">
        <v>1.8268133333333332</v>
      </c>
      <c r="G10" s="173">
        <v>1.8083533333333333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>
        <f t="shared" si="0"/>
        <v>1.7969673333333334</v>
      </c>
    </row>
    <row r="11" spans="1:18" x14ac:dyDescent="0.25">
      <c r="A11" s="5" t="s">
        <v>290</v>
      </c>
      <c r="B11" s="5"/>
      <c r="C11" s="173">
        <v>1.876954</v>
      </c>
      <c r="D11" s="173">
        <v>1.8800119999999998</v>
      </c>
      <c r="E11" s="173">
        <v>1.8920920000000001</v>
      </c>
      <c r="F11" s="173">
        <v>1.924336</v>
      </c>
      <c r="G11" s="173">
        <v>1.9054660000000005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>
        <f t="shared" si="0"/>
        <v>1.8957720000000002</v>
      </c>
    </row>
    <row r="12" spans="1:18" x14ac:dyDescent="0.25">
      <c r="A12" s="5" t="s">
        <v>291</v>
      </c>
      <c r="B12" s="5"/>
      <c r="C12" s="173">
        <v>1.9343299999999999</v>
      </c>
      <c r="D12" s="173">
        <v>1.9386859999999999</v>
      </c>
      <c r="E12" s="173">
        <v>1.9494639999999999</v>
      </c>
      <c r="F12" s="173">
        <v>1.979552</v>
      </c>
      <c r="G12" s="173">
        <v>1.9600979999999999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>
        <f t="shared" si="0"/>
        <v>1.9524259999999998</v>
      </c>
    </row>
    <row r="13" spans="1:18" x14ac:dyDescent="0.25">
      <c r="A13" s="5" t="s">
        <v>292</v>
      </c>
      <c r="B13" s="5"/>
      <c r="C13" s="173">
        <v>1.9765600000000001</v>
      </c>
      <c r="D13" s="173">
        <v>1.98132</v>
      </c>
      <c r="E13" s="173">
        <v>1.9916924999999999</v>
      </c>
      <c r="F13" s="173">
        <v>2.0211200000000002</v>
      </c>
      <c r="G13" s="173">
        <v>2.0014675000000004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>
        <f t="shared" si="0"/>
        <v>1.9944320000000002</v>
      </c>
    </row>
    <row r="14" spans="1:18" x14ac:dyDescent="0.25">
      <c r="A14" s="5" t="s">
        <v>293</v>
      </c>
      <c r="B14" s="5"/>
      <c r="C14" s="173">
        <v>1.9396920000000002</v>
      </c>
      <c r="D14" s="173">
        <v>1.9445959999999998</v>
      </c>
      <c r="E14" s="173">
        <v>1.9548019999999999</v>
      </c>
      <c r="F14" s="173">
        <v>1.9839340000000001</v>
      </c>
      <c r="G14" s="173">
        <v>1.964296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>
        <f t="shared" si="0"/>
        <v>1.9574640000000003</v>
      </c>
    </row>
    <row r="15" spans="1:18" x14ac:dyDescent="0.25">
      <c r="A15" s="5" t="s">
        <v>294</v>
      </c>
      <c r="B15" s="5"/>
      <c r="C15" s="173">
        <v>1.952518</v>
      </c>
      <c r="D15" s="173">
        <v>1.9583540000000002</v>
      </c>
      <c r="E15" s="173">
        <v>1.9676199999999997</v>
      </c>
      <c r="F15" s="173">
        <v>1.9951919999999999</v>
      </c>
      <c r="G15" s="173">
        <v>1.975168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>
        <f t="shared" si="0"/>
        <v>1.9697703999999998</v>
      </c>
    </row>
    <row r="16" spans="1:18" x14ac:dyDescent="0.25">
      <c r="A16" s="5" t="s">
        <v>295</v>
      </c>
      <c r="B16" s="5"/>
      <c r="C16" s="173">
        <v>2.0007459999999999</v>
      </c>
      <c r="D16" s="173">
        <v>2.003638</v>
      </c>
      <c r="E16" s="173">
        <v>2.0158840000000002</v>
      </c>
      <c r="F16" s="173">
        <v>2.0484</v>
      </c>
      <c r="G16" s="173">
        <v>2.0296119999999997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>
        <f t="shared" si="0"/>
        <v>2.0196559999999999</v>
      </c>
    </row>
    <row r="17" spans="1:18" x14ac:dyDescent="0.25">
      <c r="A17" s="5" t="s">
        <v>296</v>
      </c>
      <c r="B17" s="5"/>
      <c r="C17" s="173">
        <v>2.0826024999999997</v>
      </c>
      <c r="D17" s="173">
        <v>2.0852750000000002</v>
      </c>
      <c r="E17" s="173">
        <v>2.0977874999999999</v>
      </c>
      <c r="F17" s="173">
        <v>2.1307749999999999</v>
      </c>
      <c r="G17" s="173">
        <v>2.1119275000000002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>
        <f t="shared" si="0"/>
        <v>2.1016734999999995</v>
      </c>
    </row>
    <row r="18" spans="1:18" x14ac:dyDescent="0.25">
      <c r="A18" s="5" t="s">
        <v>297</v>
      </c>
      <c r="B18" s="5"/>
      <c r="C18" s="173">
        <v>2.0669360000000001</v>
      </c>
      <c r="D18" s="173">
        <v>2.0704939999999996</v>
      </c>
      <c r="E18" s="173">
        <v>2.0821099999999997</v>
      </c>
      <c r="F18" s="173">
        <v>2.1136140000000001</v>
      </c>
      <c r="G18" s="173">
        <v>2.0943960000000001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>
        <f t="shared" si="0"/>
        <v>2.0855100000000002</v>
      </c>
    </row>
    <row r="19" spans="1:18" x14ac:dyDescent="0.25">
      <c r="A19" s="5" t="s">
        <v>298</v>
      </c>
      <c r="B19" s="5"/>
      <c r="C19" s="173">
        <v>2.0823840000000007</v>
      </c>
      <c r="D19" s="173">
        <v>2.0873760000000003</v>
      </c>
      <c r="E19" s="173">
        <v>2.0975119999999996</v>
      </c>
      <c r="F19" s="173">
        <v>2.1265400000000003</v>
      </c>
      <c r="G19" s="173">
        <v>2.1068160000000002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>
        <f t="shared" si="0"/>
        <v>2.1001256000000001</v>
      </c>
    </row>
    <row r="20" spans="1:18" x14ac:dyDescent="0.25">
      <c r="A20" s="5" t="s">
        <v>299</v>
      </c>
      <c r="B20" s="5"/>
      <c r="C20" s="173">
        <v>2.0614680000000001</v>
      </c>
      <c r="D20" s="173">
        <v>2.0670359999999999</v>
      </c>
      <c r="E20" s="173">
        <v>2.076562</v>
      </c>
      <c r="F20" s="173">
        <v>2.1045559999999996</v>
      </c>
      <c r="G20" s="173">
        <v>2.0846840000000002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>
        <f t="shared" si="0"/>
        <v>2.0788612</v>
      </c>
    </row>
    <row r="21" spans="1:18" x14ac:dyDescent="0.25">
      <c r="A21" s="5" t="s">
        <v>300</v>
      </c>
      <c r="B21" s="5"/>
      <c r="C21" s="173">
        <v>2.077026</v>
      </c>
      <c r="D21" s="173">
        <v>2.0806799999999996</v>
      </c>
      <c r="E21" s="173">
        <v>2.0921880000000002</v>
      </c>
      <c r="F21" s="173">
        <v>2.1235019999999998</v>
      </c>
      <c r="G21" s="173">
        <v>2.1042860000000001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>
        <f t="shared" si="0"/>
        <v>2.0955363999999999</v>
      </c>
    </row>
    <row r="22" spans="1:18" x14ac:dyDescent="0.25">
      <c r="A22" s="5" t="s">
        <v>301</v>
      </c>
      <c r="B22" s="5"/>
      <c r="C22" s="173">
        <v>2.1277940000000002</v>
      </c>
      <c r="D22" s="173">
        <v>2.130814</v>
      </c>
      <c r="E22" s="173">
        <v>2.1429819999999999</v>
      </c>
      <c r="F22" s="173">
        <v>2.1753960000000001</v>
      </c>
      <c r="G22" s="173">
        <v>2.1563880000000002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>
        <f t="shared" si="0"/>
        <v>2.1466748000000004</v>
      </c>
    </row>
    <row r="23" spans="1:18" x14ac:dyDescent="0.25">
      <c r="A23" s="5" t="s">
        <v>302</v>
      </c>
      <c r="B23" s="5"/>
      <c r="C23" s="173">
        <v>2.124816</v>
      </c>
      <c r="D23" s="173">
        <v>2.127888</v>
      </c>
      <c r="E23" s="173">
        <v>2.1399859999999999</v>
      </c>
      <c r="F23" s="173">
        <v>2.1722899999999998</v>
      </c>
      <c r="G23" s="173">
        <v>2.1532960000000001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>
        <f t="shared" si="0"/>
        <v>2.1436552</v>
      </c>
    </row>
    <row r="24" spans="1:18" x14ac:dyDescent="0.25">
      <c r="A24" s="5" t="s">
        <v>303</v>
      </c>
      <c r="B24" s="5"/>
      <c r="C24" s="173">
        <v>2.1619699999999997</v>
      </c>
      <c r="D24" s="173">
        <v>2.1659220000000001</v>
      </c>
      <c r="E24" s="173">
        <v>2.1771340000000001</v>
      </c>
      <c r="F24" s="173">
        <v>2.2079620000000002</v>
      </c>
      <c r="G24" s="173">
        <v>2.18859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>
        <f t="shared" si="0"/>
        <v>2.1803156000000001</v>
      </c>
    </row>
    <row r="25" spans="1:18" x14ac:dyDescent="0.25">
      <c r="A25" s="5" t="s">
        <v>304</v>
      </c>
      <c r="B25" s="5"/>
      <c r="C25" s="173">
        <v>2.1981400000000004</v>
      </c>
      <c r="D25" s="173">
        <v>2.2030075</v>
      </c>
      <c r="E25" s="173">
        <v>2.2133199999999995</v>
      </c>
      <c r="F25" s="173">
        <v>2.2426824999999999</v>
      </c>
      <c r="G25" s="173">
        <v>2.2228299999999996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>
        <f t="shared" si="0"/>
        <v>2.2159960000000001</v>
      </c>
    </row>
    <row r="26" spans="1:18" x14ac:dyDescent="0.25">
      <c r="A26" s="5" t="s">
        <v>305</v>
      </c>
      <c r="B26" s="5"/>
      <c r="C26" s="173">
        <v>2.2643325000000001</v>
      </c>
      <c r="D26" s="173">
        <v>2.2692299999999999</v>
      </c>
      <c r="E26" s="173">
        <v>2.2795000000000005</v>
      </c>
      <c r="F26" s="173">
        <v>2.3087800000000001</v>
      </c>
      <c r="G26" s="173">
        <v>2.2889499999999998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>
        <f t="shared" si="0"/>
        <v>2.2821585000000004</v>
      </c>
    </row>
    <row r="27" spans="1:18" x14ac:dyDescent="0.25">
      <c r="A27" s="5" t="s">
        <v>306</v>
      </c>
      <c r="B27" s="5"/>
      <c r="C27" s="173">
        <v>2.2235300000000002</v>
      </c>
      <c r="D27" s="173">
        <v>2.22865</v>
      </c>
      <c r="E27" s="173">
        <v>2.2386749999999997</v>
      </c>
      <c r="F27" s="173">
        <v>2.2675225000000006</v>
      </c>
      <c r="G27" s="173">
        <v>2.2476900000000004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>
        <f t="shared" si="0"/>
        <v>2.2412135000000002</v>
      </c>
    </row>
    <row r="28" spans="1:18" x14ac:dyDescent="0.25">
      <c r="A28" s="5" t="s">
        <v>307</v>
      </c>
      <c r="B28" s="5"/>
      <c r="C28" s="173">
        <v>2.2464225</v>
      </c>
      <c r="D28" s="173">
        <v>2.2503074999999999</v>
      </c>
      <c r="E28" s="173">
        <v>2.2615674999999995</v>
      </c>
      <c r="F28" s="173">
        <v>2.2924574999999998</v>
      </c>
      <c r="G28" s="173">
        <v>2.2731850000000002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>
        <f t="shared" si="0"/>
        <v>2.2647879999999998</v>
      </c>
    </row>
    <row r="29" spans="1:18" x14ac:dyDescent="0.25">
      <c r="A29" s="5" t="s">
        <v>308</v>
      </c>
      <c r="B29" s="5"/>
      <c r="C29" s="173">
        <v>2.2867475000000002</v>
      </c>
      <c r="D29" s="173">
        <v>2.2903374999999997</v>
      </c>
      <c r="E29" s="173">
        <v>2.3019274999999997</v>
      </c>
      <c r="F29" s="173">
        <v>2.3333949999999999</v>
      </c>
      <c r="G29" s="173">
        <v>2.3141275000000006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>
        <f t="shared" si="0"/>
        <v>2.305307</v>
      </c>
    </row>
    <row r="30" spans="1:18" x14ac:dyDescent="0.25">
      <c r="A30" s="5" t="s">
        <v>309</v>
      </c>
      <c r="B30" s="5"/>
      <c r="C30" s="173">
        <v>2.3443650000000003</v>
      </c>
      <c r="D30" s="173">
        <v>2.3480299999999996</v>
      </c>
      <c r="E30" s="173">
        <v>2.3595574999999998</v>
      </c>
      <c r="F30" s="173">
        <v>2.3909224999999998</v>
      </c>
      <c r="G30" s="173">
        <v>2.3715924999999998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>
        <f t="shared" si="0"/>
        <v>2.3628934999999998</v>
      </c>
    </row>
    <row r="31" spans="1:18" x14ac:dyDescent="0.25">
      <c r="A31" s="5" t="s">
        <v>310</v>
      </c>
      <c r="B31" s="5"/>
      <c r="C31" s="173">
        <v>2.1914475000000002</v>
      </c>
      <c r="D31" s="173">
        <v>2.1956799999999999</v>
      </c>
      <c r="E31" s="173">
        <v>2.2066150000000002</v>
      </c>
      <c r="F31" s="173">
        <v>2.2369950000000003</v>
      </c>
      <c r="G31" s="173">
        <v>2.2174774999999998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>
        <f t="shared" si="0"/>
        <v>2.2096430000000002</v>
      </c>
    </row>
    <row r="32" spans="1:18" x14ac:dyDescent="0.25">
      <c r="A32" s="5" t="s">
        <v>311</v>
      </c>
      <c r="B32" s="5"/>
      <c r="C32" s="174">
        <v>1.991412</v>
      </c>
      <c r="D32" s="174">
        <v>1.9968119999999998</v>
      </c>
      <c r="E32" s="174">
        <v>2.0065240000000002</v>
      </c>
      <c r="F32" s="174">
        <v>2.0348460000000004</v>
      </c>
      <c r="G32" s="174">
        <v>2.0149780000000002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>
        <f t="shared" si="0"/>
        <v>2.0089143999999997</v>
      </c>
    </row>
    <row r="33" spans="1:18" x14ac:dyDescent="0.25">
      <c r="A33" s="5" t="s">
        <v>312</v>
      </c>
      <c r="B33" s="5"/>
      <c r="C33" s="174">
        <v>1.9725119999999998</v>
      </c>
      <c r="D33" s="174">
        <v>1.978156</v>
      </c>
      <c r="E33" s="174">
        <v>1.9876139999999998</v>
      </c>
      <c r="F33" s="174">
        <v>2.0154939999999999</v>
      </c>
      <c r="G33" s="174">
        <v>1.9955599999999998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>
        <f t="shared" si="0"/>
        <v>1.9898671999999997</v>
      </c>
    </row>
    <row r="34" spans="1:18" x14ac:dyDescent="0.25">
      <c r="A34" s="5" t="s">
        <v>313</v>
      </c>
      <c r="B34" s="5"/>
      <c r="C34" s="174">
        <v>2.0053999999999998</v>
      </c>
      <c r="D34" s="174">
        <v>2.0095000000000001</v>
      </c>
      <c r="E34" s="174">
        <v>2.0205000000000002</v>
      </c>
      <c r="F34" s="174">
        <v>2.0510000000000002</v>
      </c>
      <c r="G34" s="174">
        <v>2.0314999999999999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>
        <f t="shared" si="0"/>
        <v>2.0235799999999999</v>
      </c>
    </row>
    <row r="35" spans="1:18" x14ac:dyDescent="0.25">
      <c r="A35" s="5" t="s">
        <v>314</v>
      </c>
      <c r="B35" s="5"/>
      <c r="C35" s="173">
        <v>2.105</v>
      </c>
      <c r="D35" s="174">
        <v>2.1080999999999999</v>
      </c>
      <c r="E35" s="173">
        <v>2.1202000000000001</v>
      </c>
      <c r="F35" s="174">
        <v>2.1522999999999999</v>
      </c>
      <c r="G35" s="173">
        <v>2.1332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>
        <f t="shared" si="0"/>
        <v>2.1237599999999999</v>
      </c>
    </row>
    <row r="36" spans="1:18" x14ac:dyDescent="0.25">
      <c r="A36" s="5" t="s">
        <v>315</v>
      </c>
      <c r="B36" s="5"/>
      <c r="C36" s="175">
        <v>2.1131000000000002</v>
      </c>
      <c r="D36" s="175">
        <v>2.1162000000000001</v>
      </c>
      <c r="E36" s="175">
        <v>2.1282999999999999</v>
      </c>
      <c r="F36" s="175">
        <v>2.1606000000000001</v>
      </c>
      <c r="G36" s="175">
        <v>2.1415000000000002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>
        <f t="shared" si="0"/>
        <v>2.1319400000000002</v>
      </c>
    </row>
    <row r="37" spans="1:18" x14ac:dyDescent="0.25">
      <c r="A37" s="5" t="s">
        <v>316</v>
      </c>
      <c r="B37" s="5"/>
      <c r="C37" s="176">
        <v>2.0828000000000002</v>
      </c>
      <c r="D37" s="176">
        <v>2.0878000000000001</v>
      </c>
      <c r="E37" s="176">
        <v>2.0979000000000001</v>
      </c>
      <c r="F37" s="176">
        <v>2.1269</v>
      </c>
      <c r="G37" s="176">
        <v>2.1071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>
        <f t="shared" si="0"/>
        <v>2.1005000000000003</v>
      </c>
    </row>
    <row r="38" spans="1:18" x14ac:dyDescent="0.25">
      <c r="A38" s="5" t="s">
        <v>317</v>
      </c>
      <c r="B38" s="5"/>
      <c r="C38" s="176">
        <v>2.0396000000000001</v>
      </c>
      <c r="D38" s="176">
        <v>2.0444</v>
      </c>
      <c r="E38" s="176">
        <v>2.0547</v>
      </c>
      <c r="F38" s="176">
        <v>2.0821000000000001</v>
      </c>
      <c r="G38" s="176">
        <v>2.0615000000000001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>
        <f t="shared" si="0"/>
        <v>2.0564600000000004</v>
      </c>
    </row>
    <row r="39" spans="1:18" x14ac:dyDescent="0.25">
      <c r="A39" s="5" t="s">
        <v>318</v>
      </c>
      <c r="B39" s="5"/>
      <c r="C39" s="176">
        <v>2.0425</v>
      </c>
      <c r="D39" s="176">
        <v>2.0451000000000001</v>
      </c>
      <c r="E39" s="176">
        <v>2.0575999999999999</v>
      </c>
      <c r="F39" s="176">
        <v>2.0865999999999998</v>
      </c>
      <c r="G39" s="176">
        <v>2.0660000000000003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>
        <f t="shared" si="0"/>
        <v>2.0595600000000003</v>
      </c>
    </row>
    <row r="40" spans="1:18" x14ac:dyDescent="0.25">
      <c r="A40" s="5" t="s">
        <v>319</v>
      </c>
      <c r="B40" s="5"/>
      <c r="C40" s="176">
        <v>2.0788000000000002</v>
      </c>
      <c r="D40" s="176">
        <v>2.0813999999999999</v>
      </c>
      <c r="E40" s="176">
        <v>2.0939000000000001</v>
      </c>
      <c r="F40" s="176">
        <v>2.1229999999999998</v>
      </c>
      <c r="G40" s="176">
        <v>2.1023000000000001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>
        <f t="shared" si="0"/>
        <v>2.0958799999999997</v>
      </c>
    </row>
    <row r="41" spans="1:18" x14ac:dyDescent="0.25">
      <c r="A41" s="1" t="s">
        <v>320</v>
      </c>
      <c r="B41" s="5"/>
      <c r="C41" s="176">
        <v>2.0261</v>
      </c>
      <c r="D41" s="176">
        <v>2.0278</v>
      </c>
      <c r="E41" s="176">
        <v>2.0413000000000001</v>
      </c>
      <c r="F41" s="176">
        <v>2.0716000000000001</v>
      </c>
      <c r="G41" s="176">
        <v>2.0510999999999999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>
        <f t="shared" si="0"/>
        <v>2.04358</v>
      </c>
    </row>
    <row r="42" spans="1:18" x14ac:dyDescent="0.25">
      <c r="A42" s="5" t="s">
        <v>321</v>
      </c>
      <c r="B42" s="5"/>
      <c r="C42" s="176">
        <v>2.0515000000000003</v>
      </c>
      <c r="D42" s="176">
        <v>2.0535000000000001</v>
      </c>
      <c r="E42" s="176">
        <v>2.0667</v>
      </c>
      <c r="F42" s="176">
        <v>2.0968</v>
      </c>
      <c r="G42" s="176">
        <v>2.0761000000000003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>
        <f t="shared" si="0"/>
        <v>2.0689199999999999</v>
      </c>
    </row>
    <row r="43" spans="1:18" x14ac:dyDescent="0.25">
      <c r="A43" s="5" t="s">
        <v>322</v>
      </c>
      <c r="B43" s="5"/>
      <c r="C43" s="176">
        <v>2.0934000000000004</v>
      </c>
      <c r="D43" s="176">
        <v>2.0954999999999999</v>
      </c>
      <c r="E43" s="176">
        <v>2.1086</v>
      </c>
      <c r="F43" s="176">
        <v>2.1385000000000001</v>
      </c>
      <c r="G43" s="176">
        <v>2.1177999999999999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>
        <f t="shared" si="0"/>
        <v>2.11076</v>
      </c>
    </row>
    <row r="44" spans="1:18" x14ac:dyDescent="0.25">
      <c r="A44" s="177" t="s">
        <v>323</v>
      </c>
      <c r="B44" s="5"/>
      <c r="C44" s="176">
        <v>2.1461000000000001</v>
      </c>
      <c r="D44" s="176">
        <v>2.1471</v>
      </c>
      <c r="E44" s="176">
        <v>2.1612999999999998</v>
      </c>
      <c r="F44" s="176">
        <v>2.1928000000000001</v>
      </c>
      <c r="G44" s="176">
        <v>2.1722999999999999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>
        <f t="shared" si="0"/>
        <v>2.1639200000000001</v>
      </c>
    </row>
    <row r="45" spans="1:18" x14ac:dyDescent="0.25">
      <c r="A45" s="5" t="s">
        <v>324</v>
      </c>
      <c r="B45" s="178">
        <v>2.1375150000000001</v>
      </c>
      <c r="C45" s="178">
        <v>2.1653899999999999</v>
      </c>
      <c r="D45" s="178">
        <v>2.1398730000000001</v>
      </c>
      <c r="E45" s="178">
        <v>2.1531930000000004</v>
      </c>
      <c r="F45" s="178">
        <v>2.191643</v>
      </c>
      <c r="G45" s="178">
        <v>2.1825280000000005</v>
      </c>
      <c r="H45" s="178">
        <v>2.1719949999999999</v>
      </c>
      <c r="I45" s="178">
        <v>2.1961350000000004</v>
      </c>
      <c r="J45" s="178">
        <v>2.2571029999999999</v>
      </c>
      <c r="K45" s="178">
        <v>2.264135</v>
      </c>
      <c r="L45" s="178">
        <v>2.2002930000000003</v>
      </c>
      <c r="M45" s="178">
        <v>2.2177029999999998</v>
      </c>
      <c r="N45" s="178">
        <v>2.2251030000000003</v>
      </c>
      <c r="O45" s="178">
        <v>2.2228629999999998</v>
      </c>
      <c r="P45" s="178">
        <v>2.2010950000000005</v>
      </c>
      <c r="Q45" s="178">
        <v>2.1913450000000001</v>
      </c>
      <c r="R45">
        <f t="shared" si="0"/>
        <v>2.1948695000000003</v>
      </c>
    </row>
    <row r="46" spans="1:18" x14ac:dyDescent="0.25">
      <c r="A46" s="5" t="s">
        <v>325</v>
      </c>
      <c r="B46" s="178">
        <v>2.1493360000000004</v>
      </c>
      <c r="C46" s="178">
        <v>2.1753160000000005</v>
      </c>
      <c r="D46" s="178">
        <v>2.150582</v>
      </c>
      <c r="E46" s="178">
        <v>2.1630920000000002</v>
      </c>
      <c r="F46" s="178">
        <v>2.2004380000000001</v>
      </c>
      <c r="G46" s="178">
        <v>2.1912020000000001</v>
      </c>
      <c r="H46" s="178">
        <v>2.1808580000000002</v>
      </c>
      <c r="I46" s="178">
        <v>2.2068460000000001</v>
      </c>
      <c r="J46" s="178">
        <v>2.265898</v>
      </c>
      <c r="K46" s="178">
        <v>2.2729340000000002</v>
      </c>
      <c r="L46" s="178">
        <v>2.2090880000000004</v>
      </c>
      <c r="M46" s="178">
        <v>2.226502</v>
      </c>
      <c r="N46" s="178">
        <v>2.2339020000000001</v>
      </c>
      <c r="O46" s="178">
        <v>2.2316620000000005</v>
      </c>
      <c r="P46" s="178">
        <v>2.2097660000000001</v>
      </c>
      <c r="Q46" s="178">
        <v>2.2002100000000002</v>
      </c>
      <c r="R46">
        <f t="shared" si="0"/>
        <v>2.2042269999999999</v>
      </c>
    </row>
    <row r="47" spans="1:18" x14ac:dyDescent="0.25">
      <c r="A47" s="5" t="s">
        <v>326</v>
      </c>
      <c r="B47" s="178">
        <v>2.264942</v>
      </c>
      <c r="C47" s="178">
        <v>2.2901620000000005</v>
      </c>
      <c r="D47" s="178">
        <v>2.2656779999999999</v>
      </c>
      <c r="E47" s="178">
        <v>2.2778940000000003</v>
      </c>
      <c r="F47" s="178">
        <v>2.3148119999999999</v>
      </c>
      <c r="G47" s="178">
        <v>2.3056359999999998</v>
      </c>
      <c r="H47" s="178">
        <v>2.2951219999999997</v>
      </c>
      <c r="I47" s="178">
        <v>2.3219400000000001</v>
      </c>
      <c r="J47" s="178">
        <v>2.3802699999999999</v>
      </c>
      <c r="K47" s="178">
        <v>2.387308</v>
      </c>
      <c r="L47" s="178">
        <v>2.3234599999999999</v>
      </c>
      <c r="M47" s="178">
        <v>2.3408760000000002</v>
      </c>
      <c r="N47" s="178">
        <v>2.3482759999999998</v>
      </c>
      <c r="O47" s="178">
        <v>2.3460360000000002</v>
      </c>
      <c r="P47" s="178">
        <v>2.3242040000000004</v>
      </c>
      <c r="Q47" s="178">
        <v>2.3144720000000003</v>
      </c>
      <c r="R47">
        <f t="shared" si="0"/>
        <v>2.3188180000000003</v>
      </c>
    </row>
    <row r="48" spans="1:18" x14ac:dyDescent="0.25">
      <c r="A48" s="5" t="s">
        <v>327</v>
      </c>
      <c r="B48" s="178">
        <v>2.283102</v>
      </c>
      <c r="C48" s="178">
        <v>2.3079960000000002</v>
      </c>
      <c r="D48" s="178">
        <v>2.2835459999999999</v>
      </c>
      <c r="E48" s="178">
        <v>2.2957420000000002</v>
      </c>
      <c r="F48" s="178">
        <v>2.3326419999999999</v>
      </c>
      <c r="G48" s="178">
        <v>2.3234180000000002</v>
      </c>
      <c r="H48" s="178">
        <v>2.3130059999999997</v>
      </c>
      <c r="I48" s="178">
        <v>2.3398080000000001</v>
      </c>
      <c r="J48" s="178">
        <v>2.3980980000000001</v>
      </c>
      <c r="K48" s="178">
        <v>2.4051339999999999</v>
      </c>
      <c r="L48" s="178">
        <v>2.341288</v>
      </c>
      <c r="M48" s="178">
        <v>2.3587040000000004</v>
      </c>
      <c r="N48" s="178">
        <v>2.3661040000000004</v>
      </c>
      <c r="O48" s="178">
        <v>2.363864</v>
      </c>
      <c r="P48" s="178">
        <v>2.3419840000000001</v>
      </c>
      <c r="Q48" s="178">
        <v>2.3323560000000003</v>
      </c>
      <c r="R48">
        <f t="shared" si="0"/>
        <v>2.3366744999999995</v>
      </c>
    </row>
    <row r="49" spans="1:18" x14ac:dyDescent="0.25">
      <c r="A49" s="5" t="s">
        <v>328</v>
      </c>
      <c r="B49" s="178">
        <v>2.1944940000000002</v>
      </c>
      <c r="C49" s="178">
        <v>2.2205979999999998</v>
      </c>
      <c r="D49" s="178">
        <v>2.1957499999999999</v>
      </c>
      <c r="E49" s="178">
        <v>2.2083740000000001</v>
      </c>
      <c r="F49" s="178">
        <v>2.2458800000000001</v>
      </c>
      <c r="G49" s="178">
        <v>2.236666</v>
      </c>
      <c r="H49" s="178">
        <v>2.2262719999999998</v>
      </c>
      <c r="I49" s="178">
        <v>2.2520100000000003</v>
      </c>
      <c r="J49" s="178">
        <v>2.3113319999999997</v>
      </c>
      <c r="K49" s="178">
        <v>2.3183719999999997</v>
      </c>
      <c r="L49" s="178">
        <v>2.2545220000000001</v>
      </c>
      <c r="M49" s="178">
        <v>2.2719420000000001</v>
      </c>
      <c r="N49" s="178">
        <v>2.2793420000000002</v>
      </c>
      <c r="O49" s="178">
        <v>2.2771019999999997</v>
      </c>
      <c r="P49" s="178">
        <v>2.2552339999999997</v>
      </c>
      <c r="Q49" s="178">
        <v>2.2456240000000003</v>
      </c>
      <c r="R49">
        <f t="shared" si="0"/>
        <v>2.2495946249999998</v>
      </c>
    </row>
    <row r="50" spans="1:18" x14ac:dyDescent="0.25">
      <c r="A50" s="5" t="s">
        <v>329</v>
      </c>
      <c r="B50" s="178">
        <v>2.1951179999999999</v>
      </c>
      <c r="C50" s="178">
        <v>2.2279800000000001</v>
      </c>
      <c r="D50" s="178">
        <v>2.2006040000000002</v>
      </c>
      <c r="E50" s="178">
        <v>2.2158120000000001</v>
      </c>
      <c r="F50" s="178">
        <v>2.2567539999999999</v>
      </c>
      <c r="G50" s="178">
        <v>2.248078</v>
      </c>
      <c r="H50" s="178">
        <v>2.2367600000000003</v>
      </c>
      <c r="I50" s="178">
        <v>2.2568679999999999</v>
      </c>
      <c r="J50" s="178">
        <v>2.3222100000000001</v>
      </c>
      <c r="K50" s="178">
        <v>2.3292459999999999</v>
      </c>
      <c r="L50" s="178">
        <v>2.2653980000000002</v>
      </c>
      <c r="M50" s="178">
        <v>2.2828160000000004</v>
      </c>
      <c r="N50" s="178">
        <v>2.290216</v>
      </c>
      <c r="O50" s="178">
        <v>2.287976</v>
      </c>
      <c r="P50" s="178">
        <v>2.266642</v>
      </c>
      <c r="Q50" s="178">
        <v>2.2561119999999999</v>
      </c>
      <c r="R50">
        <f t="shared" si="0"/>
        <v>2.2586618750000005</v>
      </c>
    </row>
    <row r="51" spans="1:18" x14ac:dyDescent="0.25">
      <c r="A51" s="5" t="s">
        <v>330</v>
      </c>
      <c r="B51" s="178">
        <v>2.237714</v>
      </c>
      <c r="C51" s="178">
        <v>2.2768820000000001</v>
      </c>
      <c r="D51" s="178">
        <v>2.2470080000000001</v>
      </c>
      <c r="E51" s="178">
        <v>2.2648319999999997</v>
      </c>
      <c r="F51" s="178">
        <v>2.3093380000000003</v>
      </c>
      <c r="G51" s="178">
        <v>2.3009819999999999</v>
      </c>
      <c r="H51" s="178">
        <v>2.2892379999999997</v>
      </c>
      <c r="I51" s="178">
        <v>2.3032680000000001</v>
      </c>
      <c r="J51" s="178">
        <v>2.3747980000000002</v>
      </c>
      <c r="K51" s="178">
        <v>2.381834</v>
      </c>
      <c r="L51" s="178">
        <v>2.3179879999999997</v>
      </c>
      <c r="M51" s="178">
        <v>2.335404</v>
      </c>
      <c r="N51" s="178">
        <v>2.3428040000000001</v>
      </c>
      <c r="O51" s="178">
        <v>2.3405639999999996</v>
      </c>
      <c r="P51" s="178">
        <v>2.3195480000000002</v>
      </c>
      <c r="Q51" s="178">
        <v>2.3085880000000003</v>
      </c>
      <c r="R51">
        <f t="shared" si="0"/>
        <v>2.3094243749999999</v>
      </c>
    </row>
    <row r="52" spans="1:18" x14ac:dyDescent="0.25">
      <c r="A52" s="5" t="s">
        <v>331</v>
      </c>
      <c r="B52" s="178">
        <v>2.204304</v>
      </c>
      <c r="C52" s="178">
        <v>2.2389200000000002</v>
      </c>
      <c r="D52" s="178">
        <v>2.2109559999999999</v>
      </c>
      <c r="E52" s="178">
        <v>2.2267400000000004</v>
      </c>
      <c r="F52" s="178">
        <v>2.2684120000000001</v>
      </c>
      <c r="G52" s="178">
        <v>2.2599420000000001</v>
      </c>
      <c r="H52" s="178">
        <v>2.2482280000000001</v>
      </c>
      <c r="I52" s="178">
        <v>2.2672159999999999</v>
      </c>
      <c r="J52" s="178">
        <v>2.3338700000000001</v>
      </c>
      <c r="K52" s="178">
        <v>2.3409040000000001</v>
      </c>
      <c r="L52" s="178">
        <v>2.2770600000000001</v>
      </c>
      <c r="M52" s="178">
        <v>2.2944740000000001</v>
      </c>
      <c r="N52" s="178">
        <v>2.3018740000000002</v>
      </c>
      <c r="O52" s="178">
        <v>2.2996340000000002</v>
      </c>
      <c r="P52" s="178">
        <v>2.2785059999999997</v>
      </c>
      <c r="Q52" s="178">
        <v>2.2675779999999999</v>
      </c>
      <c r="R52">
        <f t="shared" si="0"/>
        <v>2.2699136250000005</v>
      </c>
    </row>
    <row r="53" spans="1:18" x14ac:dyDescent="0.25">
      <c r="A53" s="5" t="s">
        <v>332</v>
      </c>
      <c r="B53" s="178">
        <v>2.133346</v>
      </c>
      <c r="C53" s="178">
        <v>2.1666599999999998</v>
      </c>
      <c r="D53" s="178">
        <v>2.139284</v>
      </c>
      <c r="E53" s="178">
        <v>2.1544620000000001</v>
      </c>
      <c r="F53" s="178">
        <v>2.1953119999999999</v>
      </c>
      <c r="G53" s="178">
        <v>2.1867420000000002</v>
      </c>
      <c r="H53" s="178">
        <v>2.1751879999999999</v>
      </c>
      <c r="I53" s="178">
        <v>2.1955459999999998</v>
      </c>
      <c r="J53" s="178">
        <v>2.2607719999999998</v>
      </c>
      <c r="K53" s="178">
        <v>2.267808</v>
      </c>
      <c r="L53" s="178">
        <v>2.2039620000000002</v>
      </c>
      <c r="M53" s="178">
        <v>2.2213780000000001</v>
      </c>
      <c r="N53" s="178">
        <v>2.2287780000000001</v>
      </c>
      <c r="O53" s="178">
        <v>2.2265380000000001</v>
      </c>
      <c r="P53" s="178">
        <v>2.205308</v>
      </c>
      <c r="Q53" s="178">
        <v>2.1945399999999999</v>
      </c>
      <c r="R53">
        <f t="shared" si="0"/>
        <v>2.1972265000000002</v>
      </c>
    </row>
    <row r="54" spans="1:18" x14ac:dyDescent="0.25">
      <c r="A54" s="5" t="s">
        <v>333</v>
      </c>
      <c r="B54" s="178">
        <v>2.1732600000000004</v>
      </c>
      <c r="C54" s="178">
        <v>2.2135480000000003</v>
      </c>
      <c r="D54" s="178">
        <v>2.1834220000000002</v>
      </c>
      <c r="E54" s="178">
        <v>2.2014140000000002</v>
      </c>
      <c r="F54" s="178">
        <v>2.2460360000000001</v>
      </c>
      <c r="G54" s="178">
        <v>2.238</v>
      </c>
      <c r="H54" s="178">
        <v>2.2255439999999997</v>
      </c>
      <c r="I54" s="178">
        <v>2.239684</v>
      </c>
      <c r="J54" s="178">
        <v>2.3114920000000003</v>
      </c>
      <c r="K54" s="178">
        <v>2.31853</v>
      </c>
      <c r="L54" s="178">
        <v>2.2546820000000003</v>
      </c>
      <c r="M54" s="178">
        <v>2.2720980000000002</v>
      </c>
      <c r="N54" s="178">
        <v>2.2794980000000002</v>
      </c>
      <c r="O54" s="178">
        <v>2.2772580000000002</v>
      </c>
      <c r="P54" s="178">
        <v>2.2565660000000003</v>
      </c>
      <c r="Q54" s="178">
        <v>2.2448940000000004</v>
      </c>
      <c r="R54">
        <f t="shared" si="0"/>
        <v>2.2459953750000001</v>
      </c>
    </row>
    <row r="55" spans="1:18" x14ac:dyDescent="0.25">
      <c r="A55" s="5" t="s">
        <v>334</v>
      </c>
      <c r="B55" s="178">
        <v>2.207576</v>
      </c>
      <c r="C55" s="178">
        <v>2.250594</v>
      </c>
      <c r="D55" s="178">
        <v>2.2192060000000002</v>
      </c>
      <c r="E55" s="178">
        <v>2.2385740000000003</v>
      </c>
      <c r="F55" s="178">
        <v>2.2851360000000001</v>
      </c>
      <c r="G55" s="178">
        <v>2.277088</v>
      </c>
      <c r="H55" s="178">
        <v>2.2648040000000003</v>
      </c>
      <c r="I55" s="178">
        <v>2.275468</v>
      </c>
      <c r="J55" s="178">
        <v>2.3505920000000002</v>
      </c>
      <c r="K55" s="178">
        <v>2.3576280000000001</v>
      </c>
      <c r="L55" s="178">
        <v>2.2937820000000002</v>
      </c>
      <c r="M55" s="178">
        <v>2.3111980000000001</v>
      </c>
      <c r="N55" s="178">
        <v>2.3185980000000002</v>
      </c>
      <c r="O55" s="178">
        <v>2.3163580000000001</v>
      </c>
      <c r="P55" s="178">
        <v>2.2956560000000001</v>
      </c>
      <c r="Q55" s="178">
        <v>2.2841559999999999</v>
      </c>
      <c r="R55">
        <f t="shared" si="0"/>
        <v>2.2841508749999999</v>
      </c>
    </row>
    <row r="56" spans="1:18" x14ac:dyDescent="0.25">
      <c r="A56" s="5" t="s">
        <v>335</v>
      </c>
      <c r="B56" s="178">
        <v>2.1901219999999997</v>
      </c>
      <c r="C56" s="178">
        <v>2.2315880000000003</v>
      </c>
      <c r="D56" s="178">
        <v>2.2007460000000001</v>
      </c>
      <c r="E56" s="178">
        <v>2.2195740000000002</v>
      </c>
      <c r="F56" s="178">
        <v>2.2654420000000002</v>
      </c>
      <c r="G56" s="178">
        <v>2.257228</v>
      </c>
      <c r="H56" s="178">
        <v>2.2452640000000001</v>
      </c>
      <c r="I56" s="178">
        <v>2.2570080000000003</v>
      </c>
      <c r="J56" s="178">
        <v>2.330902</v>
      </c>
      <c r="K56" s="178">
        <v>2.3379340000000002</v>
      </c>
      <c r="L56" s="178">
        <v>2.2740900000000002</v>
      </c>
      <c r="M56" s="178">
        <v>2.2915039999999998</v>
      </c>
      <c r="N56" s="178">
        <v>2.2989039999999998</v>
      </c>
      <c r="O56" s="178">
        <v>2.2966640000000003</v>
      </c>
      <c r="P56" s="178">
        <v>2.2757939999999999</v>
      </c>
      <c r="Q56" s="178">
        <v>2.2646139999999999</v>
      </c>
      <c r="R56">
        <f t="shared" si="0"/>
        <v>2.264836125</v>
      </c>
    </row>
    <row r="57" spans="1:18" x14ac:dyDescent="0.25">
      <c r="A57" s="5" t="s">
        <v>336</v>
      </c>
      <c r="B57" s="178">
        <v>2.2761269999999998</v>
      </c>
      <c r="C57" s="178">
        <v>2.3153670000000002</v>
      </c>
      <c r="D57" s="178">
        <v>2.2853000000000003</v>
      </c>
      <c r="E57" s="178">
        <v>2.3033429999999999</v>
      </c>
      <c r="F57" s="178">
        <v>2.3481869999999998</v>
      </c>
      <c r="G57" s="178">
        <v>2.3397800000000002</v>
      </c>
      <c r="H57" s="178">
        <v>2.3281670000000001</v>
      </c>
      <c r="I57" s="178">
        <v>2.3415630000000003</v>
      </c>
      <c r="J57" s="178">
        <v>2.4136470000000001</v>
      </c>
      <c r="K57" s="178">
        <v>2.4206799999999999</v>
      </c>
      <c r="L57" s="178">
        <v>2.356833</v>
      </c>
      <c r="M57" s="178">
        <v>2.37425</v>
      </c>
      <c r="N57" s="178">
        <v>2.38165</v>
      </c>
      <c r="O57" s="178">
        <v>2.37941</v>
      </c>
      <c r="P57" s="178">
        <v>2.3583499999999997</v>
      </c>
      <c r="Q57" s="178">
        <v>2.3475169999999999</v>
      </c>
      <c r="R57">
        <f t="shared" si="0"/>
        <v>2.3481356875000001</v>
      </c>
    </row>
    <row r="58" spans="1:18" x14ac:dyDescent="0.25">
      <c r="A58" s="179" t="s">
        <v>337</v>
      </c>
      <c r="B58" s="178">
        <v>2.225962</v>
      </c>
      <c r="C58" s="178">
        <v>2.2673760000000001</v>
      </c>
      <c r="D58" s="178">
        <v>2.2365740000000001</v>
      </c>
      <c r="E58" s="178">
        <v>2.255344</v>
      </c>
      <c r="F58" s="178">
        <v>2.3011120000000003</v>
      </c>
      <c r="G58" s="178">
        <v>2.292948</v>
      </c>
      <c r="H58" s="178">
        <v>2.2808640000000002</v>
      </c>
      <c r="I58" s="178">
        <v>2.292834</v>
      </c>
      <c r="J58" s="178">
        <v>2.3665700000000003</v>
      </c>
      <c r="K58" s="178">
        <v>2.3736039999999998</v>
      </c>
      <c r="L58" s="178">
        <v>2.309758</v>
      </c>
      <c r="M58" s="178">
        <v>2.3271739999999999</v>
      </c>
      <c r="N58" s="178">
        <v>2.3345739999999999</v>
      </c>
      <c r="O58" s="178">
        <v>2.3323339999999999</v>
      </c>
      <c r="P58" s="178">
        <v>2.3115140000000003</v>
      </c>
      <c r="Q58" s="178">
        <v>2.3002179999999997</v>
      </c>
      <c r="R58">
        <f t="shared" si="0"/>
        <v>2.3005475</v>
      </c>
    </row>
    <row r="59" spans="1:18" x14ac:dyDescent="0.25">
      <c r="A59" s="179" t="s">
        <v>338</v>
      </c>
      <c r="B59" s="178">
        <v>2.21732</v>
      </c>
      <c r="C59" s="178">
        <v>2.2629619999999999</v>
      </c>
      <c r="D59" s="178">
        <v>2.2306640000000004</v>
      </c>
      <c r="E59" s="178">
        <v>2.2509639999999997</v>
      </c>
      <c r="F59" s="178">
        <v>2.2987739999999999</v>
      </c>
      <c r="G59" s="178">
        <v>2.2909119999999996</v>
      </c>
      <c r="H59" s="178">
        <v>2.2783120000000001</v>
      </c>
      <c r="I59" s="178">
        <v>2.2869259999999998</v>
      </c>
      <c r="J59" s="178">
        <v>2.3642280000000002</v>
      </c>
      <c r="K59" s="178">
        <v>2.3712659999999999</v>
      </c>
      <c r="L59" s="178">
        <v>2.3074180000000002</v>
      </c>
      <c r="M59" s="178">
        <v>2.3248359999999999</v>
      </c>
      <c r="N59" s="178">
        <v>2.3322340000000001</v>
      </c>
      <c r="O59" s="178">
        <v>2.3299940000000001</v>
      </c>
      <c r="P59" s="178">
        <v>2.3094779999999999</v>
      </c>
      <c r="Q59" s="178">
        <v>2.2976619999999999</v>
      </c>
      <c r="R59">
        <f t="shared" si="0"/>
        <v>2.2971218750000002</v>
      </c>
    </row>
    <row r="60" spans="1:18" x14ac:dyDescent="0.25">
      <c r="A60" s="5" t="s">
        <v>339</v>
      </c>
      <c r="B60" s="178">
        <v>2.2669319999999997</v>
      </c>
      <c r="C60" s="178">
        <v>2.311836</v>
      </c>
      <c r="D60" s="178">
        <v>2.2798859999999999</v>
      </c>
      <c r="E60" s="178">
        <v>2.2998620000000001</v>
      </c>
      <c r="F60" s="178">
        <v>2.3472719999999998</v>
      </c>
      <c r="G60" s="178">
        <v>2.339242</v>
      </c>
      <c r="H60" s="178">
        <v>2.3269859999999998</v>
      </c>
      <c r="I60" s="178">
        <v>2.3361480000000001</v>
      </c>
      <c r="J60" s="178">
        <v>2.412728</v>
      </c>
      <c r="K60" s="178">
        <v>2.4197640000000002</v>
      </c>
      <c r="L60" s="178">
        <v>2.355918</v>
      </c>
      <c r="M60" s="178">
        <v>2.3733339999999998</v>
      </c>
      <c r="N60" s="178">
        <v>2.3807339999999999</v>
      </c>
      <c r="O60" s="178">
        <v>2.3784940000000003</v>
      </c>
      <c r="P60" s="178">
        <v>2.3578099999999997</v>
      </c>
      <c r="Q60" s="178">
        <v>2.3463380000000003</v>
      </c>
      <c r="R60">
        <f t="shared" si="0"/>
        <v>2.3458302500000006</v>
      </c>
    </row>
    <row r="61" spans="1:18" x14ac:dyDescent="0.25">
      <c r="A61" s="5" t="s">
        <v>340</v>
      </c>
      <c r="B61" s="178">
        <v>2.3161329999999998</v>
      </c>
      <c r="C61" s="178">
        <v>2.3607</v>
      </c>
      <c r="D61" s="178">
        <v>2.3288600000000002</v>
      </c>
      <c r="E61" s="178">
        <v>2.3487629999999999</v>
      </c>
      <c r="F61" s="178">
        <v>2.396115</v>
      </c>
      <c r="G61" s="178">
        <v>2.387953</v>
      </c>
      <c r="H61" s="178">
        <v>2.3759899999999998</v>
      </c>
      <c r="I61" s="178">
        <v>2.3851199999999997</v>
      </c>
      <c r="J61" s="178">
        <v>2.461573</v>
      </c>
      <c r="K61" s="178">
        <v>2.4686080000000001</v>
      </c>
      <c r="L61" s="178">
        <v>2.404763</v>
      </c>
      <c r="M61" s="178">
        <v>2.4221779999999997</v>
      </c>
      <c r="N61" s="178">
        <v>2.4295779999999998</v>
      </c>
      <c r="O61" s="178">
        <v>2.4273380000000002</v>
      </c>
      <c r="P61" s="178">
        <v>2.40652</v>
      </c>
      <c r="Q61" s="178">
        <v>2.39534</v>
      </c>
      <c r="R61">
        <f t="shared" si="0"/>
        <v>2.3947207499999998</v>
      </c>
    </row>
    <row r="62" spans="1:18" x14ac:dyDescent="0.25">
      <c r="A62" s="5" t="s">
        <v>341</v>
      </c>
      <c r="B62" s="178">
        <v>2.2984279999999999</v>
      </c>
      <c r="C62" s="178">
        <v>2.343963</v>
      </c>
      <c r="D62" s="178">
        <v>2.3116650000000001</v>
      </c>
      <c r="E62" s="178">
        <v>2.3320529999999997</v>
      </c>
      <c r="F62" s="178">
        <v>2.3801030000000001</v>
      </c>
      <c r="G62" s="178">
        <v>2.3710149999999999</v>
      </c>
      <c r="H62" s="178">
        <v>2.362123</v>
      </c>
      <c r="I62" s="178">
        <v>2.3679250000000001</v>
      </c>
      <c r="J62" s="178">
        <v>2.4455629999999999</v>
      </c>
      <c r="K62" s="178">
        <v>2.4525999999999999</v>
      </c>
      <c r="L62" s="178">
        <v>2.3887530000000003</v>
      </c>
      <c r="M62" s="178">
        <v>2.4061699999999999</v>
      </c>
      <c r="N62" s="178">
        <v>2.4135680000000002</v>
      </c>
      <c r="O62" s="178">
        <v>2.4113280000000001</v>
      </c>
      <c r="P62" s="178">
        <v>2.389583</v>
      </c>
      <c r="Q62" s="178">
        <v>2.3814730000000002</v>
      </c>
      <c r="R62">
        <f t="shared" si="0"/>
        <v>2.3785195625000002</v>
      </c>
    </row>
    <row r="63" spans="1:18" x14ac:dyDescent="0.25">
      <c r="A63" s="5" t="s">
        <v>342</v>
      </c>
      <c r="B63" s="178">
        <v>2.2960379999999998</v>
      </c>
      <c r="C63" s="178">
        <v>2.3470880000000003</v>
      </c>
      <c r="D63" s="178">
        <v>2.3124259999999999</v>
      </c>
      <c r="E63" s="178">
        <v>2.3352840000000001</v>
      </c>
      <c r="F63" s="178">
        <v>2.3866999999999998</v>
      </c>
      <c r="G63" s="178">
        <v>2.3767480000000001</v>
      </c>
      <c r="H63" s="178">
        <v>2.3712199999999997</v>
      </c>
      <c r="I63" s="178">
        <v>2.36869</v>
      </c>
      <c r="J63" s="178">
        <v>2.4521579999999998</v>
      </c>
      <c r="K63" s="178">
        <v>2.4591979999999998</v>
      </c>
      <c r="L63" s="178">
        <v>2.3953479999999998</v>
      </c>
      <c r="M63" s="178">
        <v>2.412766</v>
      </c>
      <c r="N63" s="178">
        <v>2.420166</v>
      </c>
      <c r="O63" s="178">
        <v>2.417926</v>
      </c>
      <c r="P63" s="178">
        <v>2.3953120000000001</v>
      </c>
      <c r="Q63" s="178">
        <v>2.3905720000000001</v>
      </c>
      <c r="R63">
        <f t="shared" si="0"/>
        <v>2.3836024999999998</v>
      </c>
    </row>
    <row r="64" spans="1:18" x14ac:dyDescent="0.25">
      <c r="A64" s="5" t="s">
        <v>343</v>
      </c>
      <c r="B64" s="178">
        <v>2.2398339999999997</v>
      </c>
      <c r="C64" s="178">
        <v>2.3027040000000003</v>
      </c>
      <c r="D64" s="178">
        <v>2.263334</v>
      </c>
      <c r="E64" s="178">
        <v>2.2910239999999997</v>
      </c>
      <c r="F64" s="178">
        <v>2.3489119999999999</v>
      </c>
      <c r="G64" s="178">
        <v>2.3393860000000002</v>
      </c>
      <c r="H64" s="178">
        <v>2.333882</v>
      </c>
      <c r="I64" s="178">
        <v>2.3195960000000002</v>
      </c>
      <c r="J64" s="178">
        <v>2.4143719999999997</v>
      </c>
      <c r="K64" s="178">
        <v>2.421408</v>
      </c>
      <c r="L64" s="178">
        <v>2.3575599999999999</v>
      </c>
      <c r="M64" s="178">
        <v>2.374978</v>
      </c>
      <c r="N64" s="178">
        <v>2.3823780000000001</v>
      </c>
      <c r="O64" s="178">
        <v>2.3801380000000001</v>
      </c>
      <c r="P64" s="178">
        <v>2.3579560000000002</v>
      </c>
      <c r="Q64" s="178">
        <v>2.353234</v>
      </c>
      <c r="R64">
        <f t="shared" si="0"/>
        <v>2.3425435000000001</v>
      </c>
    </row>
    <row r="65" spans="1:18" x14ac:dyDescent="0.25">
      <c r="A65" s="5" t="s">
        <v>344</v>
      </c>
      <c r="B65" s="178">
        <v>2.18045</v>
      </c>
      <c r="C65" s="178">
        <v>2.2453949999999998</v>
      </c>
      <c r="D65" s="178">
        <v>2.2051500000000002</v>
      </c>
      <c r="E65" s="178">
        <v>2.2338</v>
      </c>
      <c r="F65" s="178">
        <v>2.2930630000000001</v>
      </c>
      <c r="G65" s="178">
        <v>2.2834180000000002</v>
      </c>
      <c r="H65" s="178">
        <v>2.2783679999999999</v>
      </c>
      <c r="I65" s="178">
        <v>2.2614130000000001</v>
      </c>
      <c r="J65" s="178">
        <v>2.3585180000000001</v>
      </c>
      <c r="K65" s="178">
        <v>2.365558</v>
      </c>
      <c r="L65" s="178">
        <v>2.3017080000000001</v>
      </c>
      <c r="M65" s="178">
        <v>2.3191250000000001</v>
      </c>
      <c r="N65" s="178">
        <v>2.3265250000000002</v>
      </c>
      <c r="O65" s="178">
        <v>2.3242849999999997</v>
      </c>
      <c r="P65" s="178">
        <v>2.3019879999999997</v>
      </c>
      <c r="Q65">
        <v>2.2977179999999997</v>
      </c>
      <c r="R65">
        <f t="shared" si="0"/>
        <v>2.2860301249999999</v>
      </c>
    </row>
    <row r="66" spans="1:18" x14ac:dyDescent="0.25">
      <c r="A66" s="5" t="s">
        <v>345</v>
      </c>
      <c r="B66" s="178">
        <v>2.035914</v>
      </c>
      <c r="C66" s="178">
        <v>2.0947800000000001</v>
      </c>
      <c r="D66" s="178">
        <v>2.0568580000000001</v>
      </c>
      <c r="E66" s="178">
        <v>2.083024</v>
      </c>
      <c r="F66" s="178">
        <v>2.1388220000000002</v>
      </c>
      <c r="G66" s="178">
        <v>2.1292820000000003</v>
      </c>
      <c r="H66" s="178">
        <v>2.1235079999999997</v>
      </c>
      <c r="I66" s="178">
        <v>2.1131180000000001</v>
      </c>
      <c r="J66" s="178">
        <v>2.2042800000000002</v>
      </c>
      <c r="K66" s="178">
        <v>2.2113159999999996</v>
      </c>
      <c r="L66" s="178">
        <v>2.1474679999999999</v>
      </c>
      <c r="M66" s="178">
        <v>2.1648860000000001</v>
      </c>
      <c r="N66" s="178">
        <v>2.1722860000000002</v>
      </c>
      <c r="O66" s="178">
        <v>2.1700459999999997</v>
      </c>
      <c r="P66" s="178">
        <v>2.1478440000000001</v>
      </c>
      <c r="Q66">
        <v>2.1428580000000004</v>
      </c>
      <c r="R66">
        <f t="shared" ref="R66:R129" si="1">SUM(B66:Q66)/COUNT(B66:Q66)</f>
        <v>2.1335181250000002</v>
      </c>
    </row>
    <row r="67" spans="1:18" x14ac:dyDescent="0.25">
      <c r="A67" s="5" t="s">
        <v>346</v>
      </c>
      <c r="B67" s="178">
        <v>1.8977940000000002</v>
      </c>
      <c r="C67" s="178">
        <v>1.939508</v>
      </c>
      <c r="D67" s="178">
        <v>1.908236</v>
      </c>
      <c r="E67" s="178">
        <v>1.92743</v>
      </c>
      <c r="F67" s="178">
        <v>1.973708</v>
      </c>
      <c r="G67" s="178">
        <v>1.9640060000000001</v>
      </c>
      <c r="H67" s="178">
        <v>1.9571859999999999</v>
      </c>
      <c r="I67" s="178">
        <v>1.964496</v>
      </c>
      <c r="J67" s="178">
        <v>2.039164</v>
      </c>
      <c r="K67" s="178">
        <v>2.0462000000000002</v>
      </c>
      <c r="L67" s="178">
        <v>1.9823539999999999</v>
      </c>
      <c r="M67" s="178">
        <v>1.99977</v>
      </c>
      <c r="N67" s="178">
        <v>2.0071699999999999</v>
      </c>
      <c r="O67" s="178">
        <v>2.0049299999999999</v>
      </c>
      <c r="P67" s="178">
        <v>1.9825740000000001</v>
      </c>
      <c r="Q67" s="178">
        <v>1.9765379999999999</v>
      </c>
      <c r="R67">
        <f t="shared" si="1"/>
        <v>1.9731915000000002</v>
      </c>
    </row>
    <row r="68" spans="1:18" x14ac:dyDescent="0.25">
      <c r="A68" s="5" t="s">
        <v>347</v>
      </c>
      <c r="B68" s="178">
        <v>1.9587059999999998</v>
      </c>
      <c r="C68" s="178">
        <v>1.992944</v>
      </c>
      <c r="D68" s="178">
        <v>1.9644480000000002</v>
      </c>
      <c r="E68" s="178">
        <v>1.9808060000000001</v>
      </c>
      <c r="F68" s="178">
        <v>2.0233059999999998</v>
      </c>
      <c r="G68" s="178">
        <v>2.0133040000000002</v>
      </c>
      <c r="H68" s="178">
        <v>2.0065820000000003</v>
      </c>
      <c r="I68" s="178">
        <v>2.0207100000000002</v>
      </c>
      <c r="J68" s="178">
        <v>2.0887640000000003</v>
      </c>
      <c r="K68" s="178">
        <v>2.0958019999999999</v>
      </c>
      <c r="L68" s="178">
        <v>2.0319539999999998</v>
      </c>
      <c r="M68" s="178">
        <v>2.0493699999999997</v>
      </c>
      <c r="N68" s="178">
        <v>2.0567699999999998</v>
      </c>
      <c r="O68" s="178">
        <v>2.0545300000000002</v>
      </c>
      <c r="P68" s="178">
        <v>2.0318719999999999</v>
      </c>
      <c r="Q68" s="178">
        <v>2.0259320000000001</v>
      </c>
      <c r="R68">
        <f t="shared" si="1"/>
        <v>2.0247375000000001</v>
      </c>
    </row>
    <row r="69" spans="1:18" x14ac:dyDescent="0.25">
      <c r="A69" s="5" t="s">
        <v>348</v>
      </c>
      <c r="B69" s="178">
        <v>2.0344579999999999</v>
      </c>
      <c r="C69" s="178">
        <v>2.0682150000000004</v>
      </c>
      <c r="D69" s="178">
        <v>2.0398100000000001</v>
      </c>
      <c r="E69" s="178">
        <v>2.0561100000000003</v>
      </c>
      <c r="F69" s="178">
        <v>2.0985830000000001</v>
      </c>
      <c r="G69" s="178">
        <v>2.0884650000000002</v>
      </c>
      <c r="H69" s="178">
        <v>2.0819899999999998</v>
      </c>
      <c r="I69" s="178">
        <v>2.0960730000000001</v>
      </c>
      <c r="J69" s="178">
        <v>2.1640429999999999</v>
      </c>
      <c r="K69" s="178">
        <v>2.1710799999999999</v>
      </c>
      <c r="L69" s="178">
        <v>2.1072330000000004</v>
      </c>
      <c r="M69" s="178">
        <v>2.1246450000000001</v>
      </c>
      <c r="N69" s="178">
        <v>2.1320429999999999</v>
      </c>
      <c r="O69" s="178">
        <v>2.1298029999999999</v>
      </c>
      <c r="P69" s="178">
        <v>2.1070300000000004</v>
      </c>
      <c r="Q69" s="178">
        <v>2.10134</v>
      </c>
      <c r="R69">
        <f t="shared" si="1"/>
        <v>2.1000575625</v>
      </c>
    </row>
    <row r="70" spans="1:18" x14ac:dyDescent="0.25">
      <c r="A70" s="5" t="s">
        <v>349</v>
      </c>
      <c r="B70" s="178">
        <v>1.9471339999999999</v>
      </c>
      <c r="C70" s="178">
        <v>1.9857159999999998</v>
      </c>
      <c r="D70" s="178">
        <v>1.955336</v>
      </c>
      <c r="E70" s="178">
        <v>1.9736859999999998</v>
      </c>
      <c r="F70" s="178">
        <v>2.0189280000000003</v>
      </c>
      <c r="G70" s="178">
        <v>2.0089259999999998</v>
      </c>
      <c r="H70" s="178">
        <v>2.0026079999999999</v>
      </c>
      <c r="I70" s="178">
        <v>2.0115959999999999</v>
      </c>
      <c r="J70" s="178">
        <v>2.0843880000000001</v>
      </c>
      <c r="K70" s="178">
        <v>2.0914259999999998</v>
      </c>
      <c r="L70" s="178">
        <v>2.0275780000000001</v>
      </c>
      <c r="M70" s="178">
        <v>2.0449960000000003</v>
      </c>
      <c r="N70" s="178">
        <v>2.0523960000000003</v>
      </c>
      <c r="O70" s="178">
        <v>2.0501559999999999</v>
      </c>
      <c r="P70" s="178">
        <v>2.0274920000000001</v>
      </c>
      <c r="Q70" s="178">
        <v>2.0219580000000001</v>
      </c>
      <c r="R70">
        <f t="shared" si="1"/>
        <v>2.0190199999999998</v>
      </c>
    </row>
    <row r="71" spans="1:18" x14ac:dyDescent="0.25">
      <c r="A71" s="5" t="s">
        <v>350</v>
      </c>
      <c r="B71" s="178">
        <v>1.9314739999999999</v>
      </c>
      <c r="C71" s="178">
        <v>1.980124</v>
      </c>
      <c r="D71" s="178">
        <v>1.945608</v>
      </c>
      <c r="E71" s="178">
        <v>1.9682639999999998</v>
      </c>
      <c r="F71" s="178">
        <v>2.0193639999999999</v>
      </c>
      <c r="G71" s="178">
        <v>2.0095399999999999</v>
      </c>
      <c r="H71" s="178">
        <v>2.003682</v>
      </c>
      <c r="I71" s="178">
        <v>2.001868</v>
      </c>
      <c r="J71" s="178">
        <v>2.0848200000000001</v>
      </c>
      <c r="K71" s="178">
        <v>2.0918560000000004</v>
      </c>
      <c r="L71" s="178">
        <v>2.0280100000000001</v>
      </c>
      <c r="M71" s="178">
        <v>2.045426</v>
      </c>
      <c r="N71" s="178">
        <v>2.052826</v>
      </c>
      <c r="O71" s="178">
        <v>2.0505859999999996</v>
      </c>
      <c r="P71" s="178">
        <v>2.0281099999999999</v>
      </c>
      <c r="Q71" s="178">
        <v>2.0230360000000003</v>
      </c>
      <c r="R71">
        <f t="shared" si="1"/>
        <v>2.0165371249999993</v>
      </c>
    </row>
    <row r="72" spans="1:18" x14ac:dyDescent="0.25">
      <c r="A72" s="5" t="s">
        <v>351</v>
      </c>
      <c r="B72" s="178">
        <v>1.595764</v>
      </c>
      <c r="C72" s="178">
        <v>1.6483320000000001</v>
      </c>
      <c r="D72" s="178">
        <v>1.611934</v>
      </c>
      <c r="E72" s="178">
        <v>1.6366579999999999</v>
      </c>
      <c r="F72" s="178">
        <v>1.690696</v>
      </c>
      <c r="G72" s="178">
        <v>1.680626</v>
      </c>
      <c r="H72" s="178">
        <v>1.6757280000000001</v>
      </c>
      <c r="I72" s="178">
        <v>1.668196</v>
      </c>
      <c r="J72" s="178">
        <v>1.7561519999999999</v>
      </c>
      <c r="K72" s="178">
        <v>1.7631880000000002</v>
      </c>
      <c r="L72" s="178">
        <v>1.6993420000000001</v>
      </c>
      <c r="M72" s="178">
        <v>1.716758</v>
      </c>
      <c r="N72" s="178">
        <v>1.7241579999999999</v>
      </c>
      <c r="O72" s="178">
        <v>1.7219179999999998</v>
      </c>
      <c r="P72">
        <v>1.6991880000000001</v>
      </c>
      <c r="Q72">
        <v>1.6950780000000001</v>
      </c>
      <c r="R72">
        <f t="shared" si="1"/>
        <v>1.6864822499999998</v>
      </c>
    </row>
    <row r="73" spans="1:18" x14ac:dyDescent="0.25">
      <c r="A73" s="5" t="s">
        <v>352</v>
      </c>
      <c r="B73" s="178">
        <v>1.2877959999999999</v>
      </c>
      <c r="C73" s="178">
        <v>1.3364039999999999</v>
      </c>
      <c r="D73" s="178">
        <v>1.301034</v>
      </c>
      <c r="E73" s="178">
        <v>1.3246720000000001</v>
      </c>
      <c r="F73" s="178">
        <v>1.37721</v>
      </c>
      <c r="G73" s="178">
        <v>1.3671479999999998</v>
      </c>
      <c r="H73" s="178">
        <v>1.362012</v>
      </c>
      <c r="I73" s="178">
        <v>1.3572960000000001</v>
      </c>
      <c r="J73" s="178">
        <v>1.442666</v>
      </c>
      <c r="K73" s="178">
        <v>1.449702</v>
      </c>
      <c r="L73" s="178">
        <v>1.385856</v>
      </c>
      <c r="M73" s="178">
        <v>1.4032719999999999</v>
      </c>
      <c r="N73" s="178">
        <v>1.4106719999999999</v>
      </c>
      <c r="O73" s="178">
        <v>1.4084319999999999</v>
      </c>
      <c r="P73" s="178">
        <v>1.3857139999999999</v>
      </c>
      <c r="Q73" s="178">
        <v>1.381364</v>
      </c>
      <c r="R73">
        <f t="shared" si="1"/>
        <v>1.3738281250000002</v>
      </c>
    </row>
    <row r="74" spans="1:18" x14ac:dyDescent="0.25">
      <c r="A74" s="5" t="s">
        <v>353</v>
      </c>
      <c r="B74" s="178">
        <v>1.1359159999999999</v>
      </c>
      <c r="C74" s="178">
        <v>1.1739580000000001</v>
      </c>
      <c r="D74" s="178">
        <v>1.1427360000000002</v>
      </c>
      <c r="E74" s="178">
        <v>1.162032</v>
      </c>
      <c r="F74" s="178">
        <v>1.2086539999999999</v>
      </c>
      <c r="G74" s="178">
        <v>1.198472</v>
      </c>
      <c r="H74" s="178">
        <v>1.192734</v>
      </c>
      <c r="I74" s="178">
        <v>1.1989960000000002</v>
      </c>
      <c r="J74" s="178">
        <v>1.2741120000000001</v>
      </c>
      <c r="K74" s="178">
        <v>1.28115</v>
      </c>
      <c r="L74" s="178">
        <v>1.2173</v>
      </c>
      <c r="M74" s="178">
        <v>1.23472</v>
      </c>
      <c r="N74" s="178">
        <v>1.2421199999999999</v>
      </c>
      <c r="O74" s="178">
        <v>1.2398800000000001</v>
      </c>
      <c r="P74" s="178">
        <v>1.2170399999999999</v>
      </c>
      <c r="Q74" s="178">
        <v>1.212086</v>
      </c>
      <c r="R74">
        <f t="shared" si="1"/>
        <v>1.208244125</v>
      </c>
    </row>
    <row r="75" spans="1:18" x14ac:dyDescent="0.25">
      <c r="A75" s="5" t="s">
        <v>354</v>
      </c>
      <c r="B75" s="178">
        <v>1.1832339999999999</v>
      </c>
      <c r="C75" s="178">
        <v>1.2189539999999999</v>
      </c>
      <c r="D75" s="178">
        <v>1.1883299999999999</v>
      </c>
      <c r="E75" s="178">
        <v>1.2069839999999998</v>
      </c>
      <c r="F75" s="178">
        <v>1.2527059999999999</v>
      </c>
      <c r="G75" s="178">
        <v>1.2425519999999999</v>
      </c>
      <c r="H75" s="178">
        <v>1.2366239999999999</v>
      </c>
      <c r="I75" s="178">
        <v>1.2445920000000001</v>
      </c>
      <c r="J75" s="178">
        <v>1.3181659999999999</v>
      </c>
      <c r="K75" s="178">
        <v>1.325202</v>
      </c>
      <c r="L75" s="178">
        <v>1.2613559999999999</v>
      </c>
      <c r="M75" s="178">
        <v>1.278772</v>
      </c>
      <c r="N75" s="178">
        <v>1.2861720000000001</v>
      </c>
      <c r="O75" s="178">
        <v>1.2839320000000001</v>
      </c>
      <c r="P75" s="178">
        <v>1.2611199999999998</v>
      </c>
      <c r="Q75" s="178">
        <v>1.2559739999999999</v>
      </c>
      <c r="R75">
        <f t="shared" si="1"/>
        <v>1.2527918749999998</v>
      </c>
    </row>
    <row r="76" spans="1:18" x14ac:dyDescent="0.25">
      <c r="A76" s="5" t="s">
        <v>355</v>
      </c>
      <c r="B76" s="178">
        <v>1.222988</v>
      </c>
      <c r="C76" s="178">
        <v>1.258275</v>
      </c>
      <c r="D76" s="178">
        <v>1.2279230000000001</v>
      </c>
      <c r="E76" s="178">
        <v>1.246308</v>
      </c>
      <c r="F76" s="178">
        <v>1.2916829999999999</v>
      </c>
      <c r="G76" s="178">
        <v>1.2814700000000001</v>
      </c>
      <c r="H76" s="178">
        <v>1.2756149999999999</v>
      </c>
      <c r="I76" s="178">
        <v>1.2841849999999999</v>
      </c>
      <c r="J76" s="178">
        <v>1.35714</v>
      </c>
      <c r="K76" s="178">
        <v>1.3641780000000001</v>
      </c>
      <c r="L76" s="178">
        <v>1.30033</v>
      </c>
      <c r="M76" s="178">
        <v>1.3177480000000001</v>
      </c>
      <c r="N76" s="178">
        <v>1.325148</v>
      </c>
      <c r="O76" s="178">
        <v>1.322908</v>
      </c>
      <c r="P76" s="178">
        <v>1.3000399999999999</v>
      </c>
      <c r="Q76" s="178">
        <v>1.2949680000000001</v>
      </c>
      <c r="R76">
        <f t="shared" si="1"/>
        <v>1.2919316875</v>
      </c>
    </row>
    <row r="77" spans="1:18" x14ac:dyDescent="0.25">
      <c r="A77" s="5" t="s">
        <v>356</v>
      </c>
      <c r="B77" s="178">
        <v>1.1332880000000001</v>
      </c>
      <c r="C77" s="178">
        <v>1.1749620000000001</v>
      </c>
      <c r="D77" s="178">
        <v>1.1420039999999998</v>
      </c>
      <c r="E77" s="178">
        <v>1.16317</v>
      </c>
      <c r="F77" s="178">
        <v>1.21241</v>
      </c>
      <c r="G77" s="178">
        <v>1.2021040000000001</v>
      </c>
      <c r="H77" s="178">
        <v>1.1970139999999998</v>
      </c>
      <c r="I77" s="178">
        <v>1.1982660000000001</v>
      </c>
      <c r="J77" s="178">
        <v>1.277868</v>
      </c>
      <c r="K77" s="178">
        <v>1.284904</v>
      </c>
      <c r="L77" s="178">
        <v>1.221058</v>
      </c>
      <c r="M77" s="178">
        <v>1.2384739999999999</v>
      </c>
      <c r="N77" s="178">
        <v>1.2458739999999999</v>
      </c>
      <c r="O77" s="178">
        <v>1.2436339999999999</v>
      </c>
      <c r="P77" s="178">
        <v>1.220672</v>
      </c>
      <c r="Q77" s="178">
        <v>1.216364</v>
      </c>
      <c r="R77">
        <f t="shared" si="1"/>
        <v>1.210754125</v>
      </c>
    </row>
    <row r="78" spans="1:18" x14ac:dyDescent="0.25">
      <c r="A78" s="5" t="s">
        <v>357</v>
      </c>
      <c r="B78" s="178">
        <v>1.1130960000000001</v>
      </c>
      <c r="C78" s="178">
        <v>1.2038659999999999</v>
      </c>
      <c r="D78" s="178">
        <v>1.1514040000000001</v>
      </c>
      <c r="E78" s="178">
        <v>1.1929239999999999</v>
      </c>
      <c r="F78" s="178">
        <v>1.269852</v>
      </c>
      <c r="G78" s="178">
        <v>1.2602960000000001</v>
      </c>
      <c r="H78" s="178">
        <v>1.257628</v>
      </c>
      <c r="I78" s="178">
        <v>1.2076640000000001</v>
      </c>
      <c r="J78" s="178">
        <v>1.3353119999999998</v>
      </c>
      <c r="K78" s="178">
        <v>1.3423479999999999</v>
      </c>
      <c r="L78" s="178">
        <v>1.278502</v>
      </c>
      <c r="M78" s="178">
        <v>1.2959159999999998</v>
      </c>
      <c r="N78" s="178">
        <v>1.3033160000000001</v>
      </c>
      <c r="O78" s="178">
        <v>1.3010760000000001</v>
      </c>
      <c r="P78" s="178">
        <v>1.278864</v>
      </c>
      <c r="Q78" s="178">
        <v>1.2769780000000002</v>
      </c>
      <c r="R78">
        <f t="shared" si="1"/>
        <v>1.2543151249999998</v>
      </c>
    </row>
    <row r="79" spans="1:18" x14ac:dyDescent="0.25">
      <c r="A79" s="5" t="s">
        <v>358</v>
      </c>
      <c r="B79" s="178">
        <v>0.98618399999999995</v>
      </c>
      <c r="C79" s="178">
        <v>1.090732</v>
      </c>
      <c r="D79" s="178">
        <v>1.0326739999999999</v>
      </c>
      <c r="E79" s="178">
        <v>1.080238</v>
      </c>
      <c r="F79" s="178">
        <v>1.1656659999999999</v>
      </c>
      <c r="G79" s="178">
        <v>1.155672</v>
      </c>
      <c r="H79" s="178">
        <v>1.155178</v>
      </c>
      <c r="I79" s="178">
        <v>1.1104880000000001</v>
      </c>
      <c r="J79" s="178">
        <v>1.256338</v>
      </c>
      <c r="K79" s="178">
        <v>1.2663759999999999</v>
      </c>
      <c r="L79" s="178">
        <v>1.1799000000000002</v>
      </c>
      <c r="M79" s="178">
        <v>1.1975199999999999</v>
      </c>
      <c r="N79" s="178">
        <v>1.212456</v>
      </c>
      <c r="O79" s="178">
        <v>1.207778</v>
      </c>
      <c r="P79" s="178">
        <v>1.1831659999999999</v>
      </c>
      <c r="Q79" s="178">
        <v>1.183252</v>
      </c>
      <c r="R79">
        <f t="shared" si="1"/>
        <v>1.153976125</v>
      </c>
    </row>
    <row r="80" spans="1:18" x14ac:dyDescent="0.25">
      <c r="A80" s="5" t="s">
        <v>359</v>
      </c>
      <c r="B80" s="178">
        <v>1.1886320000000001</v>
      </c>
      <c r="C80" s="178">
        <v>1.2506700000000002</v>
      </c>
      <c r="D80" s="178">
        <v>1.209012</v>
      </c>
      <c r="E80" s="178">
        <v>1.239276</v>
      </c>
      <c r="F80" s="178">
        <v>1.3009200000000001</v>
      </c>
      <c r="G80" s="178">
        <v>1.290878</v>
      </c>
      <c r="H80" s="178">
        <v>1.287018</v>
      </c>
      <c r="I80" s="178">
        <v>1.3787660000000002</v>
      </c>
      <c r="J80" s="178">
        <v>1.4991300000000001</v>
      </c>
      <c r="K80" s="178">
        <v>1.521946</v>
      </c>
      <c r="L80" s="178">
        <v>1.338768</v>
      </c>
      <c r="M80" s="178">
        <v>1.3578460000000001</v>
      </c>
      <c r="N80" s="178">
        <v>1.40452</v>
      </c>
      <c r="O80" s="178">
        <v>1.3895840000000002</v>
      </c>
      <c r="P80" s="178">
        <v>1.356284</v>
      </c>
      <c r="Q80" s="178">
        <v>1.35219</v>
      </c>
      <c r="R80">
        <f t="shared" si="1"/>
        <v>1.3353400000000002</v>
      </c>
    </row>
    <row r="81" spans="1:18" x14ac:dyDescent="0.25">
      <c r="A81" s="5" t="s">
        <v>360</v>
      </c>
      <c r="B81" s="178">
        <v>1.2880119999999999</v>
      </c>
      <c r="C81" s="178">
        <v>1.328136</v>
      </c>
      <c r="D81" s="178">
        <v>1.2947580000000001</v>
      </c>
      <c r="E81" s="178">
        <v>1.3163320000000001</v>
      </c>
      <c r="F81" s="178">
        <v>1.36609</v>
      </c>
      <c r="G81" s="178">
        <v>1.3559019999999999</v>
      </c>
      <c r="H81" s="178">
        <v>1.350638</v>
      </c>
      <c r="I81" s="178">
        <v>1.4700599999999999</v>
      </c>
      <c r="J81" s="178">
        <v>1.5707800000000001</v>
      </c>
      <c r="K81" s="178">
        <v>1.594344</v>
      </c>
      <c r="L81" s="178">
        <v>1.405178</v>
      </c>
      <c r="M81" s="178">
        <v>1.4248800000000001</v>
      </c>
      <c r="N81" s="178">
        <v>1.4730760000000001</v>
      </c>
      <c r="O81" s="178">
        <v>1.457654</v>
      </c>
      <c r="P81" s="178">
        <v>1.4234439999999999</v>
      </c>
      <c r="Q81" s="178">
        <v>1.41794</v>
      </c>
      <c r="R81">
        <f t="shared" si="1"/>
        <v>1.4085765000000001</v>
      </c>
    </row>
    <row r="82" spans="1:18" x14ac:dyDescent="0.25">
      <c r="A82" s="180" t="s">
        <v>361</v>
      </c>
      <c r="B82" s="178">
        <v>1.4676439999999999</v>
      </c>
      <c r="C82" s="178">
        <v>1.503136</v>
      </c>
      <c r="D82" s="178">
        <v>1.4719040000000001</v>
      </c>
      <c r="E82" s="178">
        <v>1.492346</v>
      </c>
      <c r="F82" s="178">
        <v>1.5412739999999998</v>
      </c>
      <c r="G82" s="178">
        <v>1.5298859999999999</v>
      </c>
      <c r="H82" s="178">
        <v>1.5276939999999999</v>
      </c>
      <c r="I82" s="178">
        <v>1.6409079999999998</v>
      </c>
      <c r="J82" s="178">
        <v>1.7386060000000001</v>
      </c>
      <c r="K82" s="178">
        <v>1.7613219999999998</v>
      </c>
      <c r="L82" s="178">
        <v>1.5789559999999998</v>
      </c>
      <c r="M82" s="178">
        <v>1.5979480000000001</v>
      </c>
      <c r="N82" s="178">
        <v>1.644414</v>
      </c>
      <c r="O82" s="178">
        <v>1.6295459999999999</v>
      </c>
      <c r="P82" s="178">
        <v>1.595</v>
      </c>
      <c r="Q82" s="178">
        <v>1.5925820000000002</v>
      </c>
      <c r="R82">
        <f t="shared" si="1"/>
        <v>1.5820728749999999</v>
      </c>
    </row>
    <row r="83" spans="1:18" x14ac:dyDescent="0.25">
      <c r="A83" s="5" t="s">
        <v>362</v>
      </c>
      <c r="B83" s="178">
        <v>1.4055329999999999</v>
      </c>
      <c r="C83" s="178">
        <v>1.4425730000000001</v>
      </c>
      <c r="D83" s="178">
        <v>1.411265</v>
      </c>
      <c r="E83" s="178">
        <v>1.431775</v>
      </c>
      <c r="F83" s="178">
        <v>1.4807779999999999</v>
      </c>
      <c r="G83" s="178">
        <v>1.4694229999999999</v>
      </c>
      <c r="H83" s="178">
        <v>1.4671650000000001</v>
      </c>
      <c r="I83" s="178">
        <v>1.5707329999999999</v>
      </c>
      <c r="J83" s="178">
        <v>1.6669749999999999</v>
      </c>
      <c r="K83" s="178">
        <v>1.6884100000000002</v>
      </c>
      <c r="L83" s="178">
        <v>1.516335</v>
      </c>
      <c r="M83" s="178">
        <v>1.5342580000000001</v>
      </c>
      <c r="N83" s="178">
        <v>1.578098</v>
      </c>
      <c r="O83" s="178">
        <v>1.5640699999999998</v>
      </c>
      <c r="P83" s="178">
        <v>1.5308649999999999</v>
      </c>
      <c r="Q83" s="178">
        <v>1.5283879999999999</v>
      </c>
      <c r="R83">
        <f t="shared" si="1"/>
        <v>1.5179152500000002</v>
      </c>
    </row>
    <row r="84" spans="1:18" x14ac:dyDescent="0.25">
      <c r="A84" s="5" t="s">
        <v>363</v>
      </c>
      <c r="B84" s="178">
        <v>1.413646</v>
      </c>
      <c r="C84" s="178">
        <v>1.4506620000000001</v>
      </c>
      <c r="D84" s="178">
        <v>1.4196659999999999</v>
      </c>
      <c r="E84" s="178">
        <v>1.439824</v>
      </c>
      <c r="F84" s="178">
        <v>1.4883299999999999</v>
      </c>
      <c r="G84" s="178">
        <v>1.4769960000000002</v>
      </c>
      <c r="H84" s="178">
        <v>1.4746159999999999</v>
      </c>
      <c r="I84" s="178">
        <v>1.5736079999999999</v>
      </c>
      <c r="J84" s="178">
        <v>1.6680740000000001</v>
      </c>
      <c r="K84" s="178">
        <v>1.688766</v>
      </c>
      <c r="L84" s="178">
        <v>1.522656</v>
      </c>
      <c r="M84" s="178">
        <v>1.5399559999999999</v>
      </c>
      <c r="N84" s="178">
        <v>1.5822780000000001</v>
      </c>
      <c r="O84" s="178">
        <v>1.5687339999999999</v>
      </c>
      <c r="P84" s="178">
        <v>1.5363059999999999</v>
      </c>
      <c r="Q84" s="178">
        <v>1.5337180000000001</v>
      </c>
      <c r="R84">
        <f t="shared" si="1"/>
        <v>1.5236147499999999</v>
      </c>
    </row>
    <row r="85" spans="1:18" x14ac:dyDescent="0.25">
      <c r="A85" s="5" t="s">
        <v>364</v>
      </c>
      <c r="B85" s="178">
        <v>1.482046</v>
      </c>
      <c r="C85" s="178">
        <v>1.515352</v>
      </c>
      <c r="D85" s="178">
        <v>1.486146</v>
      </c>
      <c r="E85" s="178">
        <v>1.5043679999999999</v>
      </c>
      <c r="F85" s="178">
        <v>1.5501980000000002</v>
      </c>
      <c r="G85" s="178">
        <v>1.538864</v>
      </c>
      <c r="H85" s="178">
        <v>1.536052</v>
      </c>
      <c r="I85" s="178">
        <v>1.633874</v>
      </c>
      <c r="J85" s="178">
        <v>1.7226920000000001</v>
      </c>
      <c r="K85" s="178">
        <v>1.74255</v>
      </c>
      <c r="L85" s="178">
        <v>1.5831379999999999</v>
      </c>
      <c r="M85" s="178">
        <v>1.5997399999999999</v>
      </c>
      <c r="N85" s="178">
        <v>1.6403559999999999</v>
      </c>
      <c r="O85" s="178">
        <v>1.627362</v>
      </c>
      <c r="P85" s="178">
        <v>1.595782</v>
      </c>
      <c r="Q85" s="178">
        <v>1.5927719999999999</v>
      </c>
      <c r="R85">
        <f t="shared" si="1"/>
        <v>1.5844557500000001</v>
      </c>
    </row>
    <row r="86" spans="1:18" x14ac:dyDescent="0.25">
      <c r="A86" s="5" t="s">
        <v>365</v>
      </c>
      <c r="B86" s="178">
        <v>1.61114</v>
      </c>
      <c r="C86" s="178">
        <v>1.637694</v>
      </c>
      <c r="D86" s="178">
        <v>1.6105879999999999</v>
      </c>
      <c r="E86" s="178">
        <v>1.626674</v>
      </c>
      <c r="F86" s="178">
        <v>1.669686</v>
      </c>
      <c r="G86" s="178">
        <v>1.658048</v>
      </c>
      <c r="H86" s="178">
        <v>1.6554659999999999</v>
      </c>
      <c r="I86" s="178">
        <v>1.7670899999999998</v>
      </c>
      <c r="J86" s="178">
        <v>1.8524179999999999</v>
      </c>
      <c r="K86" s="178">
        <v>1.873456</v>
      </c>
      <c r="L86" s="178">
        <v>1.70458</v>
      </c>
      <c r="M86" s="178">
        <v>1.7221679999999999</v>
      </c>
      <c r="N86" s="178">
        <v>1.765196</v>
      </c>
      <c r="O86" s="178">
        <v>1.7514280000000002</v>
      </c>
      <c r="P86" s="178">
        <v>1.7183459999999999</v>
      </c>
      <c r="Q86" s="178">
        <v>1.7155499999999999</v>
      </c>
      <c r="R86">
        <f t="shared" si="1"/>
        <v>1.7087205000000001</v>
      </c>
    </row>
    <row r="87" spans="1:18" x14ac:dyDescent="0.25">
      <c r="A87" s="5" t="s">
        <v>366</v>
      </c>
      <c r="B87" s="178">
        <v>1.6552580000000001</v>
      </c>
      <c r="C87" s="178">
        <v>1.67933</v>
      </c>
      <c r="D87" s="178">
        <v>1.6530619999999998</v>
      </c>
      <c r="E87" s="178">
        <v>1.6683140000000001</v>
      </c>
      <c r="F87" s="178">
        <v>1.7102439999999999</v>
      </c>
      <c r="G87" s="178">
        <v>1.6984520000000001</v>
      </c>
      <c r="H87" s="178">
        <v>1.6960440000000001</v>
      </c>
      <c r="I87" s="178">
        <v>1.8115060000000001</v>
      </c>
      <c r="J87" s="178">
        <v>1.8952439999999999</v>
      </c>
      <c r="K87" s="178">
        <v>1.9165460000000001</v>
      </c>
      <c r="L87" s="178">
        <v>1.7455699999999998</v>
      </c>
      <c r="M87" s="178">
        <v>1.7633779999999999</v>
      </c>
      <c r="N87" s="178">
        <v>1.80694</v>
      </c>
      <c r="O87" s="178">
        <v>1.7930039999999998</v>
      </c>
      <c r="P87" s="178">
        <v>1.7594960000000002</v>
      </c>
      <c r="Q87" s="178">
        <v>1.756874</v>
      </c>
      <c r="R87">
        <f t="shared" si="1"/>
        <v>1.750578875</v>
      </c>
    </row>
    <row r="88" spans="1:18" x14ac:dyDescent="0.25">
      <c r="A88" s="5" t="s">
        <v>367</v>
      </c>
      <c r="B88" s="178">
        <v>1.6401780000000001</v>
      </c>
      <c r="C88" s="178">
        <v>1.6677200000000001</v>
      </c>
      <c r="D88" s="178">
        <v>1.6399600000000001</v>
      </c>
      <c r="E88" s="178">
        <v>1.656855</v>
      </c>
      <c r="F88" s="178">
        <v>1.7010799999999999</v>
      </c>
      <c r="G88" s="178">
        <v>1.6892349999999998</v>
      </c>
      <c r="H88" s="178">
        <v>1.6873130000000001</v>
      </c>
      <c r="I88" s="178">
        <v>1.800835</v>
      </c>
      <c r="J88" s="178">
        <v>1.8889229999999999</v>
      </c>
      <c r="K88" s="178">
        <v>1.9105479999999999</v>
      </c>
      <c r="L88" s="178">
        <v>1.73695</v>
      </c>
      <c r="M88" s="178">
        <v>1.7550299999999999</v>
      </c>
      <c r="N88" s="178">
        <v>1.7992629999999998</v>
      </c>
      <c r="O88" s="178">
        <v>1.7851079999999999</v>
      </c>
      <c r="P88" s="178">
        <v>1.75122</v>
      </c>
      <c r="Q88" s="178">
        <v>1.7490830000000002</v>
      </c>
      <c r="R88">
        <f t="shared" si="1"/>
        <v>1.7412063124999999</v>
      </c>
    </row>
    <row r="89" spans="1:18" x14ac:dyDescent="0.25">
      <c r="A89" s="5" t="s">
        <v>368</v>
      </c>
      <c r="B89" s="178">
        <v>1.7200440000000001</v>
      </c>
      <c r="C89" s="178">
        <v>1.749252</v>
      </c>
      <c r="D89" s="178">
        <v>1.720928</v>
      </c>
      <c r="E89" s="178">
        <v>1.7383299999999999</v>
      </c>
      <c r="F89" s="178">
        <v>1.7831520000000001</v>
      </c>
      <c r="G89" s="178">
        <v>1.7715260000000002</v>
      </c>
      <c r="H89" s="178">
        <v>1.769212</v>
      </c>
      <c r="I89" s="178">
        <v>1.8807739999999999</v>
      </c>
      <c r="J89" s="178">
        <v>1.9697880000000001</v>
      </c>
      <c r="K89" s="178">
        <v>1.991276</v>
      </c>
      <c r="L89" s="178">
        <v>1.818792</v>
      </c>
      <c r="M89" s="178">
        <v>1.8367560000000001</v>
      </c>
      <c r="N89" s="178">
        <v>1.8807039999999999</v>
      </c>
      <c r="O89" s="178">
        <v>1.866644</v>
      </c>
      <c r="P89" s="178">
        <v>1.8331120000000001</v>
      </c>
      <c r="Q89" s="178">
        <v>1.8305820000000002</v>
      </c>
      <c r="R89">
        <f t="shared" si="1"/>
        <v>1.8225545000000001</v>
      </c>
    </row>
    <row r="90" spans="1:18" x14ac:dyDescent="0.25">
      <c r="A90" s="5" t="s">
        <v>369</v>
      </c>
      <c r="B90" s="178">
        <v>1.7588379999999999</v>
      </c>
      <c r="C90" s="178">
        <v>1.802886</v>
      </c>
      <c r="D90" s="178">
        <v>1.768912</v>
      </c>
      <c r="E90" s="178">
        <v>1.7920119999999999</v>
      </c>
      <c r="F90" s="178">
        <v>1.8443080000000001</v>
      </c>
      <c r="G90" s="178">
        <v>1.833582</v>
      </c>
      <c r="H90" s="178">
        <v>1.8304400000000001</v>
      </c>
      <c r="I90" s="178">
        <v>1.9289100000000001</v>
      </c>
      <c r="J90" s="178">
        <v>2.0311219999999999</v>
      </c>
      <c r="K90" s="178">
        <v>2.0526300000000002</v>
      </c>
      <c r="L90" s="178">
        <v>1.87998</v>
      </c>
      <c r="M90" s="178">
        <v>1.8979619999999999</v>
      </c>
      <c r="N90" s="178">
        <v>1.941954</v>
      </c>
      <c r="O90" s="178">
        <v>1.9278759999999999</v>
      </c>
      <c r="P90" s="178">
        <v>1.8952280000000001</v>
      </c>
      <c r="Q90" s="178">
        <v>1.8918679999999999</v>
      </c>
      <c r="R90">
        <f t="shared" si="1"/>
        <v>1.8799067499999997</v>
      </c>
    </row>
    <row r="91" spans="1:18" x14ac:dyDescent="0.25">
      <c r="A91" s="5" t="s">
        <v>370</v>
      </c>
      <c r="B91" s="178">
        <v>1.76441</v>
      </c>
      <c r="C91" s="178">
        <v>1.812856</v>
      </c>
      <c r="D91" s="178">
        <v>1.777374</v>
      </c>
      <c r="E91" s="178">
        <v>1.8022739999999999</v>
      </c>
      <c r="F91" s="178">
        <v>1.8572219999999999</v>
      </c>
      <c r="G91" s="178">
        <v>1.8461479999999999</v>
      </c>
      <c r="H91" s="178">
        <v>1.844222</v>
      </c>
      <c r="I91" s="178">
        <v>1.932628</v>
      </c>
      <c r="J91" s="178">
        <v>2.0384980000000001</v>
      </c>
      <c r="K91" s="178">
        <v>2.059364</v>
      </c>
      <c r="L91" s="178">
        <v>1.89184</v>
      </c>
      <c r="M91" s="178">
        <v>1.909286</v>
      </c>
      <c r="N91" s="178">
        <v>1.95197</v>
      </c>
      <c r="O91" s="178">
        <v>1.93831</v>
      </c>
      <c r="P91" s="178">
        <v>1.9059619999999999</v>
      </c>
      <c r="Q91" s="178">
        <v>1.903826</v>
      </c>
      <c r="R91">
        <f t="shared" si="1"/>
        <v>1.8897618749999996</v>
      </c>
    </row>
    <row r="92" spans="1:18" x14ac:dyDescent="0.25">
      <c r="A92" s="5" t="s">
        <v>371</v>
      </c>
      <c r="B92" s="178">
        <v>1.7396959999999999</v>
      </c>
      <c r="C92" s="178">
        <v>1.780618</v>
      </c>
      <c r="D92" s="178">
        <v>1.7480879999999999</v>
      </c>
      <c r="E92" s="178">
        <v>1.769876</v>
      </c>
      <c r="F92" s="178">
        <v>1.8206020000000001</v>
      </c>
      <c r="G92" s="178">
        <v>1.809342</v>
      </c>
      <c r="H92" s="178">
        <v>1.80715</v>
      </c>
      <c r="I92" s="178">
        <v>1.9025000000000001</v>
      </c>
      <c r="J92" s="178">
        <v>2.000896</v>
      </c>
      <c r="K92" s="178">
        <v>2.0216500000000002</v>
      </c>
      <c r="L92" s="178">
        <v>1.8550280000000001</v>
      </c>
      <c r="M92" s="178">
        <v>1.8723859999999999</v>
      </c>
      <c r="N92" s="178">
        <v>1.914836</v>
      </c>
      <c r="O92" s="178">
        <v>1.9012560000000001</v>
      </c>
      <c r="P92" s="178">
        <v>1.8688359999999999</v>
      </c>
      <c r="Q92" s="178">
        <v>1.8664320000000001</v>
      </c>
      <c r="R92">
        <f t="shared" si="1"/>
        <v>1.8549495000000003</v>
      </c>
    </row>
    <row r="93" spans="1:18" x14ac:dyDescent="0.25">
      <c r="A93" s="5" t="s">
        <v>372</v>
      </c>
      <c r="B93" s="178">
        <v>1.788594</v>
      </c>
      <c r="C93" s="178">
        <v>1.8259620000000001</v>
      </c>
      <c r="D93" s="178">
        <v>1.79451</v>
      </c>
      <c r="E93" s="178">
        <v>1.815202</v>
      </c>
      <c r="F93" s="178">
        <v>1.8644880000000001</v>
      </c>
      <c r="G93" s="178">
        <v>1.85307</v>
      </c>
      <c r="H93" s="178">
        <v>1.851002</v>
      </c>
      <c r="I93" s="178">
        <v>1.9540360000000001</v>
      </c>
      <c r="J93" s="178">
        <v>2.050748</v>
      </c>
      <c r="K93" s="178">
        <v>2.0721940000000001</v>
      </c>
      <c r="L93" s="178">
        <v>1.9000540000000001</v>
      </c>
      <c r="M93" s="178">
        <v>1.9179820000000001</v>
      </c>
      <c r="N93" s="178">
        <v>1.9618440000000001</v>
      </c>
      <c r="O93" s="178">
        <v>1.94781</v>
      </c>
      <c r="P93" s="178">
        <v>1.9145300000000001</v>
      </c>
      <c r="Q93" s="178">
        <v>1.91225</v>
      </c>
      <c r="R93">
        <f t="shared" si="1"/>
        <v>1.9015172499999999</v>
      </c>
    </row>
    <row r="94" spans="1:18" x14ac:dyDescent="0.25">
      <c r="A94" s="5" t="s">
        <v>373</v>
      </c>
      <c r="B94" s="178">
        <v>1.8319700000000001</v>
      </c>
      <c r="C94" s="178">
        <v>1.876406</v>
      </c>
      <c r="D94" s="178">
        <v>1.842076</v>
      </c>
      <c r="E94" s="178">
        <v>1.865848</v>
      </c>
      <c r="F94" s="178">
        <v>1.9193440000000002</v>
      </c>
      <c r="G94" s="178">
        <v>1.9080280000000001</v>
      </c>
      <c r="H94" s="178">
        <v>1.9064140000000001</v>
      </c>
      <c r="I94" s="178">
        <v>2.0042360000000001</v>
      </c>
      <c r="J94" s="178">
        <v>2.1086900000000002</v>
      </c>
      <c r="K94" s="178">
        <v>2.1304859999999999</v>
      </c>
      <c r="L94" s="178">
        <v>1.9555019999999999</v>
      </c>
      <c r="M94" s="178">
        <v>1.9737260000000001</v>
      </c>
      <c r="N94" s="178">
        <v>2.01831</v>
      </c>
      <c r="O94" s="178">
        <v>2.0040460000000002</v>
      </c>
      <c r="P94" s="178">
        <v>1.9705060000000001</v>
      </c>
      <c r="Q94" s="178">
        <v>1.968674</v>
      </c>
      <c r="R94">
        <f t="shared" si="1"/>
        <v>1.9552663749999999</v>
      </c>
    </row>
    <row r="95" spans="1:18" x14ac:dyDescent="0.25">
      <c r="A95" s="5" t="s">
        <v>374</v>
      </c>
      <c r="B95" s="178">
        <v>1.8743479999999999</v>
      </c>
      <c r="C95" s="178">
        <v>1.92187</v>
      </c>
      <c r="D95" s="178">
        <v>1.886088</v>
      </c>
      <c r="E95" s="178">
        <v>1.9116379999999999</v>
      </c>
      <c r="F95" s="178">
        <v>1.967794</v>
      </c>
      <c r="G95" s="178">
        <v>1.956046</v>
      </c>
      <c r="H95" s="178">
        <v>1.9558359999999999</v>
      </c>
      <c r="I95" s="178">
        <v>2.0515639999999999</v>
      </c>
      <c r="J95" s="178">
        <v>2.161006</v>
      </c>
      <c r="K95" s="178">
        <v>2.1832500000000001</v>
      </c>
      <c r="L95" s="178">
        <v>2.0046919999999999</v>
      </c>
      <c r="M95" s="178">
        <v>2.0232860000000001</v>
      </c>
      <c r="N95" s="178">
        <v>2.068784</v>
      </c>
      <c r="O95" s="178">
        <v>2.0542220000000002</v>
      </c>
      <c r="P95" s="178">
        <v>2.0198019999999999</v>
      </c>
      <c r="Q95" s="178">
        <v>2.0193680000000001</v>
      </c>
      <c r="R95">
        <f t="shared" si="1"/>
        <v>2.0037246249999998</v>
      </c>
    </row>
    <row r="96" spans="1:18" x14ac:dyDescent="0.25">
      <c r="A96" s="5" t="s">
        <v>375</v>
      </c>
      <c r="B96" s="178">
        <v>1.8900540000000001</v>
      </c>
      <c r="C96" s="178">
        <v>1.9307780000000001</v>
      </c>
      <c r="D96" s="178">
        <v>1.8976459999999999</v>
      </c>
      <c r="E96" s="178">
        <v>1.920266</v>
      </c>
      <c r="F96" s="178">
        <v>1.9723299999999999</v>
      </c>
      <c r="G96" s="178">
        <v>1.9606859999999999</v>
      </c>
      <c r="H96" s="178">
        <v>1.959578</v>
      </c>
      <c r="I96" s="178">
        <v>2.063342</v>
      </c>
      <c r="J96" s="178">
        <v>2.1658020000000002</v>
      </c>
      <c r="K96" s="178">
        <v>2.188072</v>
      </c>
      <c r="L96" s="178">
        <v>2.0092760000000003</v>
      </c>
      <c r="M96" s="178">
        <v>2.0278960000000001</v>
      </c>
      <c r="N96" s="178">
        <v>2.0734540000000004</v>
      </c>
      <c r="O96" s="178">
        <v>2.0588760000000002</v>
      </c>
      <c r="P96" s="178">
        <v>2.0245260000000003</v>
      </c>
      <c r="Q96" s="178">
        <v>2.023196</v>
      </c>
      <c r="R96">
        <f t="shared" si="1"/>
        <v>2.0103611250000002</v>
      </c>
    </row>
    <row r="97" spans="1:18" x14ac:dyDescent="0.25">
      <c r="A97" s="5" t="s">
        <v>376</v>
      </c>
      <c r="B97" s="178">
        <v>1.75163</v>
      </c>
      <c r="C97" s="178">
        <v>1.7821880000000001</v>
      </c>
      <c r="D97" s="178">
        <v>1.753352</v>
      </c>
      <c r="E97" s="178">
        <v>1.771228</v>
      </c>
      <c r="F97" s="178">
        <v>1.816638</v>
      </c>
      <c r="G97" s="178">
        <v>1.80518</v>
      </c>
      <c r="H97" s="178">
        <v>1.8025719999999998</v>
      </c>
      <c r="I97" s="178">
        <v>1.913564</v>
      </c>
      <c r="J97" s="178">
        <v>2.0037039999999999</v>
      </c>
      <c r="K97" s="178">
        <v>2.025242</v>
      </c>
      <c r="L97" s="178">
        <v>1.85236</v>
      </c>
      <c r="M97" s="178">
        <v>1.8703640000000001</v>
      </c>
      <c r="N97" s="178">
        <v>1.914412</v>
      </c>
      <c r="O97" s="178">
        <v>1.900318</v>
      </c>
      <c r="P97" s="178">
        <v>1.8669100000000001</v>
      </c>
      <c r="Q97" s="178">
        <v>1.86408</v>
      </c>
      <c r="R97">
        <f t="shared" si="1"/>
        <v>1.8558588749999998</v>
      </c>
    </row>
    <row r="98" spans="1:18" x14ac:dyDescent="0.25">
      <c r="A98" s="5" t="s">
        <v>377</v>
      </c>
      <c r="B98" s="178">
        <v>1.6047629999999999</v>
      </c>
      <c r="C98" s="178">
        <v>1.6294849999999999</v>
      </c>
      <c r="D98" s="178">
        <v>1.6029680000000002</v>
      </c>
      <c r="E98" s="178">
        <v>1.618385</v>
      </c>
      <c r="F98" s="178">
        <v>1.6604480000000001</v>
      </c>
      <c r="G98" s="178">
        <v>1.6488699999999998</v>
      </c>
      <c r="H98" s="178">
        <v>1.645993</v>
      </c>
      <c r="I98" s="178">
        <v>1.76196</v>
      </c>
      <c r="J98" s="178">
        <v>1.846088</v>
      </c>
      <c r="K98" s="178">
        <v>1.8674600000000001</v>
      </c>
      <c r="L98" s="178">
        <v>1.6958979999999999</v>
      </c>
      <c r="M98" s="178">
        <v>1.7137629999999999</v>
      </c>
      <c r="N98" s="178">
        <v>1.7574749999999999</v>
      </c>
      <c r="O98" s="178">
        <v>1.74349</v>
      </c>
      <c r="P98" s="178">
        <v>1.7101279999999999</v>
      </c>
      <c r="Q98" s="178">
        <v>1.7070350000000001</v>
      </c>
      <c r="R98">
        <f t="shared" si="1"/>
        <v>1.7008880625000002</v>
      </c>
    </row>
    <row r="99" spans="1:18" x14ac:dyDescent="0.25">
      <c r="A99" s="5" t="s">
        <v>378</v>
      </c>
      <c r="B99" s="181">
        <v>1.5793920000000001</v>
      </c>
      <c r="C99" s="181">
        <v>1.5991300000000002</v>
      </c>
      <c r="D99" s="181">
        <v>1.574586</v>
      </c>
      <c r="E99" s="181">
        <v>1.588012</v>
      </c>
      <c r="F99" s="181">
        <v>1.627462</v>
      </c>
      <c r="G99" s="181">
        <v>1.6155719999999998</v>
      </c>
      <c r="H99" s="181">
        <v>1.6129800000000001</v>
      </c>
      <c r="I99" s="181">
        <v>1.732138</v>
      </c>
      <c r="J99" s="181">
        <v>1.8114239999999999</v>
      </c>
      <c r="K99" s="181">
        <v>1.8326040000000001</v>
      </c>
      <c r="L99" s="181">
        <v>1.66259</v>
      </c>
      <c r="M99" s="181">
        <v>1.680296</v>
      </c>
      <c r="N99" s="181">
        <v>1.723616</v>
      </c>
      <c r="O99" s="181">
        <v>1.709754</v>
      </c>
      <c r="P99" s="181">
        <v>1.6762760000000001</v>
      </c>
      <c r="Q99" s="181">
        <v>1.67347</v>
      </c>
      <c r="R99">
        <f t="shared" si="1"/>
        <v>1.6687063750000002</v>
      </c>
    </row>
    <row r="100" spans="1:18" x14ac:dyDescent="0.25">
      <c r="A100" s="5" t="s">
        <v>379</v>
      </c>
      <c r="B100" s="181">
        <v>1.6317360000000001</v>
      </c>
      <c r="C100" s="181">
        <v>1.6515840000000002</v>
      </c>
      <c r="D100" s="181">
        <v>1.6266120000000002</v>
      </c>
      <c r="E100" s="181">
        <v>1.6405460000000001</v>
      </c>
      <c r="F100" s="181">
        <v>1.680744</v>
      </c>
      <c r="G100" s="181">
        <v>1.6687619999999999</v>
      </c>
      <c r="H100" s="181">
        <v>1.666498</v>
      </c>
      <c r="I100" s="181">
        <v>1.7909179999999998</v>
      </c>
      <c r="J100" s="181">
        <v>1.8725879999999999</v>
      </c>
      <c r="K100" s="181">
        <v>1.894674</v>
      </c>
      <c r="L100" s="181">
        <v>1.7173779999999998</v>
      </c>
      <c r="M100" s="181">
        <v>1.7358420000000001</v>
      </c>
      <c r="N100" s="181">
        <v>1.7810160000000002</v>
      </c>
      <c r="O100" s="181">
        <v>1.766564</v>
      </c>
      <c r="P100" s="181">
        <v>1.7320660000000001</v>
      </c>
      <c r="Q100" s="181">
        <v>1.7295799999999999</v>
      </c>
      <c r="R100">
        <f t="shared" si="1"/>
        <v>1.72419425</v>
      </c>
    </row>
    <row r="101" spans="1:18" x14ac:dyDescent="0.25">
      <c r="A101" s="5" t="s">
        <v>380</v>
      </c>
      <c r="B101" s="181">
        <v>1.711854</v>
      </c>
      <c r="C101" s="181">
        <v>1.7398879999999999</v>
      </c>
      <c r="D101" s="181">
        <v>1.711522</v>
      </c>
      <c r="E101" s="181">
        <v>1.72909</v>
      </c>
      <c r="F101" s="181">
        <v>1.774262</v>
      </c>
      <c r="G101" s="181">
        <v>1.762386</v>
      </c>
      <c r="H101" s="181">
        <v>1.7606900000000001</v>
      </c>
      <c r="I101" s="181">
        <v>1.8798859999999999</v>
      </c>
      <c r="J101" s="181">
        <v>1.97085</v>
      </c>
      <c r="K101" s="181">
        <v>1.993482</v>
      </c>
      <c r="L101" s="181">
        <v>1.8118019999999999</v>
      </c>
      <c r="M101" s="181">
        <v>1.830722</v>
      </c>
      <c r="N101" s="181">
        <v>1.8770119999999999</v>
      </c>
      <c r="O101" s="181">
        <v>1.8622019999999999</v>
      </c>
      <c r="P101" s="181">
        <v>1.8272539999999999</v>
      </c>
      <c r="Q101" s="181">
        <v>1.8253280000000001</v>
      </c>
      <c r="R101">
        <f t="shared" si="1"/>
        <v>1.816764375</v>
      </c>
    </row>
    <row r="102" spans="1:18" x14ac:dyDescent="0.25">
      <c r="A102" s="5" t="s">
        <v>381</v>
      </c>
      <c r="B102" s="178">
        <v>1.7474580000000002</v>
      </c>
      <c r="C102" s="178">
        <v>1.7733699999999999</v>
      </c>
      <c r="D102" s="178">
        <v>1.7459100000000001</v>
      </c>
      <c r="E102" s="178">
        <v>1.7625459999999999</v>
      </c>
      <c r="F102" s="178">
        <v>1.806486</v>
      </c>
      <c r="G102" s="178">
        <v>1.7944939999999998</v>
      </c>
      <c r="H102" s="178">
        <v>1.7928539999999999</v>
      </c>
      <c r="I102" s="178">
        <v>1.912474</v>
      </c>
      <c r="J102" s="178">
        <v>2.0009700000000001</v>
      </c>
      <c r="K102" s="178">
        <v>2.0233560000000002</v>
      </c>
      <c r="L102" s="178">
        <v>1.8436220000000001</v>
      </c>
      <c r="M102" s="178">
        <v>1.8623420000000002</v>
      </c>
      <c r="N102" s="178">
        <v>1.9081360000000001</v>
      </c>
      <c r="O102" s="178">
        <v>1.8934819999999999</v>
      </c>
      <c r="P102" s="178">
        <v>1.85867</v>
      </c>
      <c r="Q102" s="178">
        <v>1.856806</v>
      </c>
      <c r="R102">
        <f t="shared" si="1"/>
        <v>1.8489359999999999</v>
      </c>
    </row>
    <row r="103" spans="1:18" x14ac:dyDescent="0.25">
      <c r="A103" s="5" t="s">
        <v>382</v>
      </c>
      <c r="B103" s="178">
        <v>1.7943279999999999</v>
      </c>
      <c r="C103" s="178">
        <v>1.8139320000000001</v>
      </c>
      <c r="D103" s="178">
        <v>1.7889000000000002</v>
      </c>
      <c r="E103" s="178">
        <v>1.8029500000000001</v>
      </c>
      <c r="F103" s="178">
        <v>1.843356</v>
      </c>
      <c r="G103" s="178">
        <v>1.831272</v>
      </c>
      <c r="H103" s="178">
        <v>1.829272</v>
      </c>
      <c r="I103" s="178">
        <v>1.95581</v>
      </c>
      <c r="J103" s="178">
        <v>2.0382419999999999</v>
      </c>
      <c r="K103" s="178">
        <v>2.0606779999999998</v>
      </c>
      <c r="L103" s="178">
        <v>1.8805699999999999</v>
      </c>
      <c r="M103" s="178">
        <v>1.89933</v>
      </c>
      <c r="N103" s="178">
        <v>1.9452199999999999</v>
      </c>
      <c r="O103" s="178">
        <v>1.9305340000000002</v>
      </c>
      <c r="P103" s="178">
        <v>1.8955799999999998</v>
      </c>
      <c r="Q103" s="178">
        <v>1.893354</v>
      </c>
      <c r="R103">
        <f t="shared" si="1"/>
        <v>1.8877079999999997</v>
      </c>
    </row>
    <row r="104" spans="1:18" x14ac:dyDescent="0.25">
      <c r="A104" s="5" t="s">
        <v>383</v>
      </c>
      <c r="B104" s="178">
        <v>1.774796</v>
      </c>
      <c r="C104" s="178">
        <v>1.7922580000000001</v>
      </c>
      <c r="D104" s="178">
        <v>1.7680340000000001</v>
      </c>
      <c r="E104" s="178">
        <v>1.7812560000000002</v>
      </c>
      <c r="F104" s="178">
        <v>1.8205579999999999</v>
      </c>
      <c r="G104" s="178">
        <v>1.8083739999999999</v>
      </c>
      <c r="H104" s="178">
        <v>1.8064200000000001</v>
      </c>
      <c r="I104" s="178">
        <v>1.9351020000000001</v>
      </c>
      <c r="J104" s="178">
        <v>2.015628</v>
      </c>
      <c r="K104" s="178">
        <v>2.0380880000000001</v>
      </c>
      <c r="L104" s="178">
        <v>1.8578060000000001</v>
      </c>
      <c r="M104" s="178">
        <v>1.876584</v>
      </c>
      <c r="N104" s="178">
        <v>1.9225160000000001</v>
      </c>
      <c r="O104" s="178">
        <v>1.9078199999999998</v>
      </c>
      <c r="P104" s="178">
        <v>1.8727419999999999</v>
      </c>
      <c r="Q104" s="178">
        <v>1.8705619999999998</v>
      </c>
      <c r="R104">
        <f t="shared" si="1"/>
        <v>1.8655340000000002</v>
      </c>
    </row>
    <row r="105" spans="1:18" x14ac:dyDescent="0.25">
      <c r="A105" s="5" t="s">
        <v>384</v>
      </c>
      <c r="B105" s="178">
        <v>1.7389079999999999</v>
      </c>
      <c r="C105" s="178">
        <v>1.7553399999999999</v>
      </c>
      <c r="D105" s="178">
        <v>1.7313340000000002</v>
      </c>
      <c r="E105" s="178">
        <v>1.744316</v>
      </c>
      <c r="F105" s="178">
        <v>1.78329</v>
      </c>
      <c r="G105" s="178">
        <v>1.7711060000000001</v>
      </c>
      <c r="H105" s="178">
        <v>1.7690939999999999</v>
      </c>
      <c r="I105" s="178">
        <v>1.9017680000000001</v>
      </c>
      <c r="J105" s="178">
        <v>1.9822919999999999</v>
      </c>
      <c r="K105" s="178">
        <v>2.0051999999999999</v>
      </c>
      <c r="L105" s="178">
        <v>1.821286</v>
      </c>
      <c r="M105" s="178">
        <v>1.840444</v>
      </c>
      <c r="N105" s="178">
        <v>1.8873040000000001</v>
      </c>
      <c r="O105" s="178">
        <v>1.8723080000000001</v>
      </c>
      <c r="P105" s="178">
        <v>1.8367719999999998</v>
      </c>
      <c r="Q105" s="178">
        <v>1.8345319999999998</v>
      </c>
      <c r="R105">
        <f t="shared" si="1"/>
        <v>1.8297058750000001</v>
      </c>
    </row>
    <row r="106" spans="1:18" x14ac:dyDescent="0.25">
      <c r="A106" s="5" t="s">
        <v>385</v>
      </c>
      <c r="B106" s="178">
        <v>1.726386</v>
      </c>
      <c r="C106" s="178">
        <v>1.742588</v>
      </c>
      <c r="D106" s="178">
        <v>1.7188060000000001</v>
      </c>
      <c r="E106" s="178">
        <v>1.731536</v>
      </c>
      <c r="F106" s="178">
        <v>1.770146</v>
      </c>
      <c r="G106" s="178">
        <v>1.7579819999999999</v>
      </c>
      <c r="H106" s="178">
        <v>1.7558739999999999</v>
      </c>
      <c r="I106" s="178">
        <v>1.886822</v>
      </c>
      <c r="J106" s="178">
        <v>1.9663219999999999</v>
      </c>
      <c r="K106" s="178">
        <v>1.9889079999999999</v>
      </c>
      <c r="L106" s="178">
        <v>1.8076079999999999</v>
      </c>
      <c r="M106" s="178">
        <v>1.8264899999999999</v>
      </c>
      <c r="N106" s="178">
        <v>1.872684</v>
      </c>
      <c r="O106" s="178">
        <v>1.8579019999999999</v>
      </c>
      <c r="P106" s="178">
        <v>1.8227180000000001</v>
      </c>
      <c r="Q106" s="178">
        <v>1.820376</v>
      </c>
      <c r="R106">
        <f t="shared" si="1"/>
        <v>1.8158217499999998</v>
      </c>
    </row>
    <row r="107" spans="1:18" x14ac:dyDescent="0.25">
      <c r="A107" s="5" t="s">
        <v>386</v>
      </c>
      <c r="B107" s="178">
        <v>1.7775860000000001</v>
      </c>
      <c r="C107" s="178">
        <v>1.7930120000000001</v>
      </c>
      <c r="D107" s="178">
        <v>1.7698399999999999</v>
      </c>
      <c r="E107" s="178">
        <v>1.7819400000000001</v>
      </c>
      <c r="F107" s="178">
        <v>1.819712</v>
      </c>
      <c r="G107" s="178">
        <v>1.807488</v>
      </c>
      <c r="H107" s="178">
        <v>1.805382</v>
      </c>
      <c r="I107" s="178">
        <v>1.9321140000000001</v>
      </c>
      <c r="J107" s="178">
        <v>2.009188</v>
      </c>
      <c r="K107" s="178">
        <v>2.0310000000000001</v>
      </c>
      <c r="L107" s="178">
        <v>1.8558920000000001</v>
      </c>
      <c r="M107" s="178">
        <v>1.8741300000000001</v>
      </c>
      <c r="N107" s="178">
        <v>1.9187480000000001</v>
      </c>
      <c r="O107" s="178">
        <v>1.9044719999999999</v>
      </c>
      <c r="P107" s="178">
        <v>1.8700080000000001</v>
      </c>
      <c r="Q107" s="178">
        <v>1.8676820000000001</v>
      </c>
      <c r="R107">
        <f t="shared" si="1"/>
        <v>1.8636371249999999</v>
      </c>
    </row>
    <row r="108" spans="1:18" x14ac:dyDescent="0.25">
      <c r="A108" s="5" t="s">
        <v>387</v>
      </c>
      <c r="B108" s="178">
        <v>1.7666040000000001</v>
      </c>
      <c r="C108" s="178">
        <v>1.7809659999999998</v>
      </c>
      <c r="D108" s="178">
        <v>1.758318</v>
      </c>
      <c r="E108" s="178">
        <v>1.76986</v>
      </c>
      <c r="F108" s="178">
        <v>1.806864</v>
      </c>
      <c r="G108" s="178">
        <v>1.7946220000000002</v>
      </c>
      <c r="H108" s="178">
        <v>1.7924359999999999</v>
      </c>
      <c r="I108" s="178">
        <v>1.91852</v>
      </c>
      <c r="J108" s="178">
        <v>1.9939179999999999</v>
      </c>
      <c r="K108" s="178">
        <v>2.0154519999999998</v>
      </c>
      <c r="L108" s="178">
        <v>1.842584</v>
      </c>
      <c r="M108" s="178">
        <v>1.860592</v>
      </c>
      <c r="N108" s="178">
        <v>1.9046339999999999</v>
      </c>
      <c r="O108" s="178">
        <v>1.8905399999999999</v>
      </c>
      <c r="P108" s="178">
        <v>1.856344</v>
      </c>
      <c r="Q108" s="178">
        <v>1.853942</v>
      </c>
      <c r="R108">
        <f t="shared" si="1"/>
        <v>1.85038725</v>
      </c>
    </row>
    <row r="109" spans="1:18" x14ac:dyDescent="0.25">
      <c r="A109" s="5" t="s">
        <v>388</v>
      </c>
      <c r="B109" s="181">
        <v>1.8920570000000001</v>
      </c>
      <c r="C109" s="181">
        <v>1.906603</v>
      </c>
      <c r="D109" s="181">
        <v>1.8838430000000002</v>
      </c>
      <c r="E109" s="181">
        <v>1.8955299999999999</v>
      </c>
      <c r="F109" s="181">
        <v>1.9327529999999999</v>
      </c>
      <c r="G109" s="181">
        <v>1.920463</v>
      </c>
      <c r="H109" s="181">
        <v>1.9184100000000002</v>
      </c>
      <c r="I109" s="181">
        <v>2.0446869999999997</v>
      </c>
      <c r="J109" s="181">
        <v>2.1205569999999998</v>
      </c>
      <c r="K109" s="181">
        <v>2.1421770000000002</v>
      </c>
      <c r="L109" s="181">
        <v>1.9686170000000001</v>
      </c>
      <c r="M109" s="181">
        <v>1.986693</v>
      </c>
      <c r="N109" s="181">
        <v>2.030913</v>
      </c>
      <c r="O109" s="181">
        <v>2.0167630000000001</v>
      </c>
      <c r="P109" s="181">
        <v>1.98244</v>
      </c>
      <c r="Q109" s="181">
        <v>1.9801630000000001</v>
      </c>
      <c r="R109">
        <f t="shared" si="1"/>
        <v>1.9764168124999999</v>
      </c>
    </row>
    <row r="110" spans="1:18" x14ac:dyDescent="0.25">
      <c r="A110" s="5" t="s">
        <v>389</v>
      </c>
      <c r="B110" s="181">
        <v>1.9047860000000001</v>
      </c>
      <c r="C110" s="181">
        <v>1.9184380000000001</v>
      </c>
      <c r="D110" s="181">
        <v>1.8963019999999999</v>
      </c>
      <c r="E110" s="181">
        <v>1.907268</v>
      </c>
      <c r="F110" s="181">
        <v>1.9434639999999999</v>
      </c>
      <c r="G110" s="181">
        <v>1.9312560000000001</v>
      </c>
      <c r="H110" s="181">
        <v>1.928858</v>
      </c>
      <c r="I110" s="181">
        <v>2.0522939999999998</v>
      </c>
      <c r="J110" s="181">
        <v>2.1256019999999998</v>
      </c>
      <c r="K110" s="181">
        <v>2.1465740000000002</v>
      </c>
      <c r="L110" s="181">
        <v>1.9782439999999999</v>
      </c>
      <c r="M110" s="181">
        <v>1.9957780000000001</v>
      </c>
      <c r="N110" s="181">
        <v>2.0386639999999998</v>
      </c>
      <c r="O110" s="181">
        <v>2.0249419999999998</v>
      </c>
      <c r="P110" s="181">
        <v>1.9913599999999998</v>
      </c>
      <c r="Q110" s="181">
        <v>1.988748</v>
      </c>
      <c r="R110">
        <f t="shared" si="1"/>
        <v>1.9857861250000002</v>
      </c>
    </row>
    <row r="111" spans="1:18" x14ac:dyDescent="0.25">
      <c r="A111" s="5" t="s">
        <v>390</v>
      </c>
      <c r="B111" s="181">
        <v>1.9071</v>
      </c>
      <c r="C111" s="181">
        <v>1.9207260000000002</v>
      </c>
      <c r="D111" s="181">
        <v>1.898814</v>
      </c>
      <c r="E111" s="181">
        <v>1.909494</v>
      </c>
      <c r="F111" s="181">
        <v>1.945246</v>
      </c>
      <c r="G111" s="181">
        <v>1.933136</v>
      </c>
      <c r="H111" s="181">
        <v>1.93045</v>
      </c>
      <c r="I111" s="181">
        <v>2.0511699999999999</v>
      </c>
      <c r="J111" s="181">
        <v>2.1231399999999998</v>
      </c>
      <c r="K111" s="181">
        <v>2.1436219999999997</v>
      </c>
      <c r="L111" s="181">
        <v>1.9792159999999999</v>
      </c>
      <c r="M111" s="181">
        <v>1.9963379999999999</v>
      </c>
      <c r="N111" s="181">
        <v>2.0382280000000002</v>
      </c>
      <c r="O111" s="181">
        <v>2.024826</v>
      </c>
      <c r="P111" s="181">
        <v>1.9918359999999999</v>
      </c>
      <c r="Q111" s="181">
        <v>1.988944</v>
      </c>
      <c r="R111">
        <f t="shared" si="1"/>
        <v>1.9863928750000002</v>
      </c>
    </row>
    <row r="112" spans="1:18" x14ac:dyDescent="0.25">
      <c r="A112" s="5" t="s">
        <v>391</v>
      </c>
      <c r="B112" s="181">
        <v>1.9882960000000001</v>
      </c>
      <c r="C112" s="181">
        <v>2.0053860000000001</v>
      </c>
      <c r="D112" s="181">
        <v>1.982132</v>
      </c>
      <c r="E112" s="181">
        <v>1.994248</v>
      </c>
      <c r="F112" s="181">
        <v>2.0319739999999999</v>
      </c>
      <c r="G112" s="181">
        <v>2.019898</v>
      </c>
      <c r="H112" s="181">
        <v>2.017452</v>
      </c>
      <c r="I112" s="181">
        <v>2.134458</v>
      </c>
      <c r="J112" s="181">
        <v>2.209832</v>
      </c>
      <c r="K112" s="181">
        <v>2.230308</v>
      </c>
      <c r="L112" s="181">
        <v>2.0659380000000001</v>
      </c>
      <c r="M112" s="181">
        <v>2.0830579999999999</v>
      </c>
      <c r="N112" s="181">
        <v>2.1249380000000002</v>
      </c>
      <c r="O112" s="181">
        <v>2.1115379999999999</v>
      </c>
      <c r="P112" s="181">
        <v>2.0785880000000003</v>
      </c>
      <c r="Q112" s="181">
        <v>2.0759319999999999</v>
      </c>
      <c r="R112">
        <f t="shared" si="1"/>
        <v>2.0721235</v>
      </c>
    </row>
    <row r="113" spans="1:18" x14ac:dyDescent="0.25">
      <c r="A113" s="5" t="s">
        <v>392</v>
      </c>
      <c r="B113" s="181">
        <v>2.0502399999999996</v>
      </c>
      <c r="C113" s="181">
        <v>2.0787330000000002</v>
      </c>
      <c r="D113" s="181">
        <v>2.050945</v>
      </c>
      <c r="E113" s="181">
        <v>2.0678550000000002</v>
      </c>
      <c r="F113" s="181">
        <v>2.1120880000000004</v>
      </c>
      <c r="G113" s="181">
        <v>2.1002779999999999</v>
      </c>
      <c r="H113" s="181">
        <v>2.0982829999999999</v>
      </c>
      <c r="I113" s="181">
        <v>2.20566</v>
      </c>
      <c r="J113" s="181">
        <v>2.292735</v>
      </c>
      <c r="K113" s="181">
        <v>2.3135330000000001</v>
      </c>
      <c r="L113" s="181">
        <v>2.1465830000000001</v>
      </c>
      <c r="M113" s="181">
        <v>2.1639699999999999</v>
      </c>
      <c r="N113" s="181">
        <v>2.2065100000000002</v>
      </c>
      <c r="O113" s="181">
        <v>2.192898</v>
      </c>
      <c r="P113" s="181">
        <v>2.1598850000000001</v>
      </c>
      <c r="Q113" s="181">
        <v>2.1576849999999999</v>
      </c>
      <c r="R113">
        <f t="shared" si="1"/>
        <v>2.1498675625000003</v>
      </c>
    </row>
    <row r="114" spans="1:18" x14ac:dyDescent="0.25">
      <c r="A114" s="5" t="s">
        <v>393</v>
      </c>
      <c r="B114" s="181">
        <v>2.0533449999999998</v>
      </c>
      <c r="C114" s="181">
        <v>2.080403</v>
      </c>
      <c r="D114" s="181">
        <v>2.0531429999999999</v>
      </c>
      <c r="E114" s="181">
        <v>2.0694499999999998</v>
      </c>
      <c r="F114" s="181">
        <v>2.112825</v>
      </c>
      <c r="G114" s="181">
        <v>2.1010680000000002</v>
      </c>
      <c r="H114" s="181">
        <v>2.0988099999999998</v>
      </c>
      <c r="I114" s="181">
        <v>2.2085850000000002</v>
      </c>
      <c r="J114" s="181">
        <v>2.2943280000000001</v>
      </c>
      <c r="K114" s="181">
        <v>2.315223</v>
      </c>
      <c r="L114" s="181">
        <v>2.1474830000000003</v>
      </c>
      <c r="M114" s="181">
        <v>2.164955</v>
      </c>
      <c r="N114" s="181">
        <v>2.2076930000000003</v>
      </c>
      <c r="O114" s="181">
        <v>2.1940149999999998</v>
      </c>
      <c r="P114" s="181">
        <v>2.1609630000000002</v>
      </c>
      <c r="Q114" s="181">
        <v>2.158493</v>
      </c>
      <c r="R114">
        <f t="shared" si="1"/>
        <v>2.1512988750000002</v>
      </c>
    </row>
    <row r="115" spans="1:18" x14ac:dyDescent="0.25">
      <c r="A115" s="5" t="s">
        <v>394</v>
      </c>
      <c r="B115" s="181">
        <v>2.103796</v>
      </c>
      <c r="C115" s="181">
        <v>2.1279879999999998</v>
      </c>
      <c r="D115" s="181">
        <v>2.101642</v>
      </c>
      <c r="E115" s="181">
        <v>2.1170239999999998</v>
      </c>
      <c r="F115" s="181">
        <v>2.1579520000000003</v>
      </c>
      <c r="G115" s="181">
        <v>2.1466560000000001</v>
      </c>
      <c r="H115" s="181">
        <v>2.1415120000000001</v>
      </c>
      <c r="I115" s="181">
        <v>2.2607080000000002</v>
      </c>
      <c r="J115" s="181">
        <v>2.34368</v>
      </c>
      <c r="K115" s="181">
        <v>2.3650639999999998</v>
      </c>
      <c r="L115" s="181">
        <v>2.1934180000000003</v>
      </c>
      <c r="M115" s="181">
        <v>2.2112979999999998</v>
      </c>
      <c r="N115" s="181">
        <v>2.2550279999999998</v>
      </c>
      <c r="O115" s="181">
        <v>2.241034</v>
      </c>
      <c r="P115" s="181">
        <v>2.2079420000000001</v>
      </c>
      <c r="Q115" s="181">
        <v>2.2025839999999999</v>
      </c>
      <c r="R115">
        <f t="shared" si="1"/>
        <v>2.198582875</v>
      </c>
    </row>
    <row r="116" spans="1:18" x14ac:dyDescent="0.25">
      <c r="A116" s="5" t="s">
        <v>395</v>
      </c>
      <c r="B116" s="181">
        <v>2.2308739999999996</v>
      </c>
      <c r="C116" s="181">
        <v>2.2574800000000002</v>
      </c>
      <c r="D116" s="181">
        <v>2.230194</v>
      </c>
      <c r="E116" s="181">
        <v>2.2466060000000003</v>
      </c>
      <c r="F116" s="181">
        <v>2.2888760000000001</v>
      </c>
      <c r="G116" s="181">
        <v>2.2776039999999997</v>
      </c>
      <c r="H116" s="181">
        <v>2.272516</v>
      </c>
      <c r="I116" s="181">
        <v>2.3892480000000003</v>
      </c>
      <c r="J116" s="181">
        <v>2.4745900000000001</v>
      </c>
      <c r="K116" s="181">
        <v>2.4959720000000001</v>
      </c>
      <c r="L116" s="181">
        <v>2.3243400000000003</v>
      </c>
      <c r="M116" s="181">
        <v>2.342212</v>
      </c>
      <c r="N116" s="181">
        <v>2.3859439999999998</v>
      </c>
      <c r="O116" s="181">
        <v>2.37195</v>
      </c>
      <c r="P116" s="181">
        <v>2.338886</v>
      </c>
      <c r="Q116" s="181">
        <v>2.3335839999999997</v>
      </c>
      <c r="R116">
        <f t="shared" si="1"/>
        <v>2.3288047500000002</v>
      </c>
    </row>
    <row r="117" spans="1:18" x14ac:dyDescent="0.25">
      <c r="A117" s="5" t="s">
        <v>396</v>
      </c>
      <c r="B117" s="181">
        <v>2.239128</v>
      </c>
      <c r="C117" s="181">
        <v>2.2676729999999998</v>
      </c>
      <c r="D117" s="181">
        <v>2.2395779999999998</v>
      </c>
      <c r="E117" s="181">
        <v>2.2567779999999997</v>
      </c>
      <c r="F117" s="181">
        <v>2.2999699999999996</v>
      </c>
      <c r="G117" s="181">
        <v>2.2889250000000003</v>
      </c>
      <c r="H117" s="181">
        <v>2.2833749999999999</v>
      </c>
      <c r="I117" s="181">
        <v>2.4001729999999997</v>
      </c>
      <c r="J117" s="181">
        <v>2.4874779999999999</v>
      </c>
      <c r="K117" s="181">
        <v>2.5090680000000001</v>
      </c>
      <c r="L117" s="181">
        <v>2.3357779999999999</v>
      </c>
      <c r="M117" s="181">
        <v>2.3538229999999998</v>
      </c>
      <c r="N117" s="181">
        <v>2.3979780000000002</v>
      </c>
      <c r="O117" s="181">
        <v>2.383845</v>
      </c>
      <c r="P117" s="181">
        <v>2.3508</v>
      </c>
      <c r="Q117" s="181">
        <v>2.3450300000000004</v>
      </c>
      <c r="R117">
        <f t="shared" si="1"/>
        <v>2.3399624999999999</v>
      </c>
    </row>
    <row r="118" spans="1:18" x14ac:dyDescent="0.25">
      <c r="A118" s="5" t="s">
        <v>397</v>
      </c>
      <c r="B118" s="181">
        <v>2.221994</v>
      </c>
      <c r="C118" s="181">
        <v>2.2475360000000002</v>
      </c>
      <c r="D118" s="181">
        <v>2.220526</v>
      </c>
      <c r="E118" s="181">
        <v>2.236558</v>
      </c>
      <c r="F118" s="181">
        <v>2.2782680000000002</v>
      </c>
      <c r="G118" s="181">
        <v>2.2671380000000001</v>
      </c>
      <c r="H118" s="181">
        <v>2.2616640000000001</v>
      </c>
      <c r="I118" s="181">
        <v>2.3825400000000001</v>
      </c>
      <c r="J118" s="181">
        <v>2.4674420000000001</v>
      </c>
      <c r="K118" s="181">
        <v>2.4892179999999997</v>
      </c>
      <c r="L118" s="181">
        <v>2.3143899999999999</v>
      </c>
      <c r="M118" s="181">
        <v>2.3326020000000001</v>
      </c>
      <c r="N118" s="181">
        <v>2.3771439999999999</v>
      </c>
      <c r="O118" s="181">
        <v>2.362892</v>
      </c>
      <c r="P118" s="181">
        <v>2.3295619999999997</v>
      </c>
      <c r="Q118" s="181">
        <v>2.323868</v>
      </c>
      <c r="R118">
        <f t="shared" si="1"/>
        <v>2.3195838750000002</v>
      </c>
    </row>
    <row r="119" spans="1:18" x14ac:dyDescent="0.25">
      <c r="A119" s="5" t="s">
        <v>398</v>
      </c>
      <c r="B119" s="181">
        <v>2.3033780000000004</v>
      </c>
      <c r="C119" s="181">
        <v>2.3299819999999998</v>
      </c>
      <c r="D119" s="181">
        <v>2.3026060000000004</v>
      </c>
      <c r="E119" s="181">
        <v>2.3189920000000002</v>
      </c>
      <c r="F119" s="181">
        <v>2.3610959999999999</v>
      </c>
      <c r="G119" s="181">
        <v>2.3500920000000001</v>
      </c>
      <c r="H119" s="181">
        <v>2.3443620000000003</v>
      </c>
      <c r="I119" s="181">
        <v>2.4640599999999999</v>
      </c>
      <c r="J119" s="181">
        <v>2.5496159999999999</v>
      </c>
      <c r="K119" s="181">
        <v>2.5713180000000002</v>
      </c>
      <c r="L119" s="181">
        <v>2.3970959999999999</v>
      </c>
      <c r="M119" s="181">
        <v>2.4152420000000001</v>
      </c>
      <c r="N119" s="181">
        <v>2.4596300000000002</v>
      </c>
      <c r="O119" s="181">
        <v>2.4454279999999997</v>
      </c>
      <c r="P119" s="181">
        <v>2.412296</v>
      </c>
      <c r="Q119" s="181">
        <v>2.4063479999999999</v>
      </c>
      <c r="R119">
        <f t="shared" si="1"/>
        <v>2.401971375</v>
      </c>
    </row>
    <row r="120" spans="1:18" x14ac:dyDescent="0.25">
      <c r="A120" s="5" t="s">
        <v>399</v>
      </c>
      <c r="B120" s="181">
        <v>2.4148400000000003</v>
      </c>
      <c r="C120" s="181">
        <v>2.4280740000000001</v>
      </c>
      <c r="D120" s="181">
        <v>2.413878</v>
      </c>
      <c r="E120" s="181">
        <v>2.4300659999999996</v>
      </c>
      <c r="F120" s="181">
        <v>2.4647060000000001</v>
      </c>
      <c r="G120" s="181">
        <v>2.4608980000000003</v>
      </c>
      <c r="H120" s="181">
        <v>2.4551439999999998</v>
      </c>
      <c r="I120" s="181">
        <v>2.574668</v>
      </c>
      <c r="J120" s="181">
        <v>2.6524459999999999</v>
      </c>
      <c r="K120" s="181">
        <v>2.6740560000000002</v>
      </c>
      <c r="L120" s="181">
        <v>2.500556</v>
      </c>
      <c r="M120" s="181">
        <v>2.5186280000000001</v>
      </c>
      <c r="N120" s="181">
        <v>2.5628319999999998</v>
      </c>
      <c r="O120" s="181">
        <v>2.548686</v>
      </c>
      <c r="P120" s="181">
        <v>2.5228479999999998</v>
      </c>
      <c r="Q120" s="181">
        <v>2.5168780000000002</v>
      </c>
      <c r="R120">
        <f t="shared" si="1"/>
        <v>2.50870025</v>
      </c>
    </row>
    <row r="121" spans="1:18" x14ac:dyDescent="0.25">
      <c r="A121" s="5" t="s">
        <v>400</v>
      </c>
      <c r="B121" s="181">
        <v>2.53959</v>
      </c>
      <c r="C121" s="181">
        <v>2.5503800000000001</v>
      </c>
      <c r="D121" s="181">
        <v>2.5370850000000003</v>
      </c>
      <c r="E121" s="181">
        <v>2.5523130000000003</v>
      </c>
      <c r="F121" s="181">
        <v>2.5809349999999998</v>
      </c>
      <c r="G121" s="181">
        <v>2.5818479999999999</v>
      </c>
      <c r="H121" s="181">
        <v>2.5761799999999999</v>
      </c>
      <c r="I121" s="181">
        <v>2.698715</v>
      </c>
      <c r="J121" s="181">
        <v>2.7696550000000002</v>
      </c>
      <c r="K121" s="181">
        <v>2.7913829999999997</v>
      </c>
      <c r="L121" s="181">
        <v>2.6169729999999998</v>
      </c>
      <c r="M121" s="181">
        <v>2.635135</v>
      </c>
      <c r="N121" s="181">
        <v>2.679573</v>
      </c>
      <c r="O121" s="181">
        <v>2.6653580000000003</v>
      </c>
      <c r="P121" s="181">
        <v>2.644123</v>
      </c>
      <c r="Q121" s="181">
        <v>2.6382350000000003</v>
      </c>
      <c r="R121">
        <f t="shared" si="1"/>
        <v>2.6285925624999997</v>
      </c>
    </row>
    <row r="122" spans="1:18" x14ac:dyDescent="0.25">
      <c r="A122" s="5" t="s">
        <v>401</v>
      </c>
      <c r="B122" s="178">
        <v>2.663084</v>
      </c>
      <c r="C122" s="178">
        <v>2.673546</v>
      </c>
      <c r="D122" s="178">
        <v>2.6602459999999999</v>
      </c>
      <c r="E122" s="178">
        <v>2.6755059999999999</v>
      </c>
      <c r="F122" s="178">
        <v>2.7041939999999998</v>
      </c>
      <c r="G122" s="178">
        <v>2.7050479999999997</v>
      </c>
      <c r="H122" s="178">
        <v>2.6995200000000001</v>
      </c>
      <c r="I122" s="178">
        <v>2.8241019999999999</v>
      </c>
      <c r="J122" s="178">
        <v>2.895508</v>
      </c>
      <c r="K122" s="178">
        <v>2.9175360000000001</v>
      </c>
      <c r="L122" s="178">
        <v>2.740726</v>
      </c>
      <c r="M122" s="178">
        <v>2.7591399999999999</v>
      </c>
      <c r="N122" s="178">
        <v>2.8041879999999999</v>
      </c>
      <c r="O122" s="178">
        <v>2.7897759999999998</v>
      </c>
      <c r="P122" s="178">
        <v>2.7681819999999999</v>
      </c>
      <c r="Q122" s="178">
        <v>2.7624299999999997</v>
      </c>
      <c r="R122">
        <f t="shared" si="1"/>
        <v>2.7526707500000001</v>
      </c>
    </row>
    <row r="123" spans="1:18" x14ac:dyDescent="0.25">
      <c r="A123" s="5" t="s">
        <v>402</v>
      </c>
      <c r="B123" s="178">
        <v>2.6967240000000001</v>
      </c>
      <c r="C123" s="178">
        <v>2.7067579999999998</v>
      </c>
      <c r="D123" s="178">
        <v>2.6932900000000002</v>
      </c>
      <c r="E123" s="178">
        <v>2.7088100000000002</v>
      </c>
      <c r="F123" s="178">
        <v>2.7379199999999999</v>
      </c>
      <c r="G123" s="178">
        <v>2.7386179999999998</v>
      </c>
      <c r="H123" s="178">
        <v>2.733498</v>
      </c>
      <c r="I123" s="178">
        <v>2.8628299999999998</v>
      </c>
      <c r="J123" s="178">
        <v>2.9358719999999998</v>
      </c>
      <c r="K123" s="178">
        <v>2.9586640000000002</v>
      </c>
      <c r="L123" s="178">
        <v>2.7757179999999999</v>
      </c>
      <c r="M123" s="178">
        <v>2.794772</v>
      </c>
      <c r="N123" s="178">
        <v>2.8413840000000001</v>
      </c>
      <c r="O123" s="178">
        <v>2.8264699999999996</v>
      </c>
      <c r="P123" s="178">
        <v>2.8039420000000002</v>
      </c>
      <c r="Q123" s="178">
        <v>2.7985900000000004</v>
      </c>
      <c r="R123">
        <f t="shared" si="1"/>
        <v>2.7883662499999997</v>
      </c>
    </row>
    <row r="124" spans="1:18" x14ac:dyDescent="0.25">
      <c r="A124" s="5" t="s">
        <v>403</v>
      </c>
      <c r="B124" s="178">
        <v>2.7857779999999996</v>
      </c>
      <c r="C124" s="178">
        <v>2.7989099999999998</v>
      </c>
      <c r="D124" s="178">
        <v>2.7842479999999998</v>
      </c>
      <c r="E124" s="178">
        <v>2.8010619999999999</v>
      </c>
      <c r="F124" s="178">
        <v>2.8217020000000002</v>
      </c>
      <c r="G124" s="178">
        <v>2.8097559999999997</v>
      </c>
      <c r="H124" s="178">
        <v>2.8275039999999998</v>
      </c>
      <c r="I124" s="178">
        <v>2.9535120000000004</v>
      </c>
      <c r="J124" s="178">
        <v>3.0193279999999998</v>
      </c>
      <c r="K124" s="178">
        <v>3.0420819999999997</v>
      </c>
      <c r="L124" s="178">
        <v>2.8594379999999999</v>
      </c>
      <c r="M124" s="178">
        <v>2.87846</v>
      </c>
      <c r="N124" s="178">
        <v>2.9249940000000003</v>
      </c>
      <c r="O124" s="178">
        <v>2.9101080000000001</v>
      </c>
      <c r="P124" s="178">
        <v>2.8749699999999998</v>
      </c>
      <c r="Q124" s="178">
        <v>2.8924920000000003</v>
      </c>
      <c r="R124">
        <f t="shared" si="1"/>
        <v>2.8740214999999996</v>
      </c>
    </row>
    <row r="125" spans="1:18" x14ac:dyDescent="0.25">
      <c r="A125" s="5" t="s">
        <v>404</v>
      </c>
      <c r="B125" s="178">
        <v>2.7121840000000002</v>
      </c>
      <c r="C125" s="178">
        <v>2.7262379999999999</v>
      </c>
      <c r="D125" s="178">
        <v>2.7113939999999999</v>
      </c>
      <c r="E125" s="178">
        <v>2.7283580000000001</v>
      </c>
      <c r="F125" s="178">
        <v>2.7491699999999999</v>
      </c>
      <c r="G125" s="178">
        <v>2.7372719999999999</v>
      </c>
      <c r="H125" s="178">
        <v>2.754788</v>
      </c>
      <c r="I125" s="178">
        <v>2.877796</v>
      </c>
      <c r="J125" s="178">
        <v>2.94346</v>
      </c>
      <c r="K125" s="178">
        <v>2.9658280000000001</v>
      </c>
      <c r="L125" s="178">
        <v>2.78627</v>
      </c>
      <c r="M125" s="178">
        <v>2.80497</v>
      </c>
      <c r="N125" s="178">
        <v>2.8507199999999999</v>
      </c>
      <c r="O125" s="178">
        <v>2.8360819999999998</v>
      </c>
      <c r="P125" s="178">
        <v>2.8013820000000003</v>
      </c>
      <c r="Q125" s="178">
        <v>2.8186740000000001</v>
      </c>
      <c r="R125">
        <f t="shared" si="1"/>
        <v>2.800286625</v>
      </c>
    </row>
    <row r="126" spans="1:18" x14ac:dyDescent="0.25">
      <c r="A126" s="5" t="s">
        <v>405</v>
      </c>
      <c r="B126" s="178">
        <v>2.5594520000000003</v>
      </c>
      <c r="C126" s="178">
        <v>2.5722680000000002</v>
      </c>
      <c r="D126" s="178">
        <v>2.557858</v>
      </c>
      <c r="E126" s="178">
        <v>2.5743719999999999</v>
      </c>
      <c r="F126" s="178">
        <v>2.594646</v>
      </c>
      <c r="G126" s="178">
        <v>2.5826519999999999</v>
      </c>
      <c r="H126" s="178">
        <v>2.6002979999999996</v>
      </c>
      <c r="I126" s="178">
        <v>2.7250399999999999</v>
      </c>
      <c r="J126" s="178">
        <v>2.7898539999999996</v>
      </c>
      <c r="K126" s="178">
        <v>2.8123260000000001</v>
      </c>
      <c r="L126" s="178">
        <v>2.63192</v>
      </c>
      <c r="M126" s="178">
        <v>2.650712</v>
      </c>
      <c r="N126" s="178">
        <v>2.6966779999999999</v>
      </c>
      <c r="O126" s="178">
        <v>2.6819699999999997</v>
      </c>
      <c r="P126" s="178">
        <v>2.6470700000000003</v>
      </c>
      <c r="Q126" s="178">
        <v>2.6644859999999997</v>
      </c>
      <c r="R126">
        <f t="shared" si="1"/>
        <v>2.6463501249999997</v>
      </c>
    </row>
    <row r="127" spans="1:18" x14ac:dyDescent="0.25">
      <c r="A127" s="5" t="s">
        <v>406</v>
      </c>
      <c r="B127" s="178">
        <v>2.6244430000000003</v>
      </c>
      <c r="C127" s="178">
        <v>2.6431300000000002</v>
      </c>
      <c r="D127" s="178">
        <v>2.6262449999999999</v>
      </c>
      <c r="E127" s="178">
        <v>2.64541</v>
      </c>
      <c r="F127" s="178">
        <v>2.6689050000000001</v>
      </c>
      <c r="G127" s="178">
        <v>2.6574499999999999</v>
      </c>
      <c r="H127" s="178">
        <v>2.6747779999999999</v>
      </c>
      <c r="I127" s="178">
        <v>2.7970680000000003</v>
      </c>
      <c r="J127" s="178">
        <v>2.86836</v>
      </c>
      <c r="K127" s="178">
        <v>2.8913249999999997</v>
      </c>
      <c r="L127" s="178">
        <v>2.7069929999999998</v>
      </c>
      <c r="M127" s="178">
        <v>2.7261899999999999</v>
      </c>
      <c r="N127" s="178">
        <v>2.773155</v>
      </c>
      <c r="O127" s="178">
        <v>2.75813</v>
      </c>
      <c r="P127" s="178">
        <v>2.723265</v>
      </c>
      <c r="Q127" s="178">
        <v>2.7403629999999999</v>
      </c>
      <c r="R127">
        <f t="shared" si="1"/>
        <v>2.7203256250000001</v>
      </c>
    </row>
    <row r="128" spans="1:18" x14ac:dyDescent="0.25">
      <c r="A128" s="5" t="s">
        <v>407</v>
      </c>
      <c r="B128" s="181">
        <v>2.5900819999999998</v>
      </c>
      <c r="C128" s="181">
        <v>2.6088079999999998</v>
      </c>
      <c r="D128" s="181">
        <v>2.592082</v>
      </c>
      <c r="E128" s="181">
        <v>2.6110259999999998</v>
      </c>
      <c r="F128" s="181">
        <v>2.634242</v>
      </c>
      <c r="G128" s="181">
        <v>2.6227620000000003</v>
      </c>
      <c r="H128" s="181">
        <v>2.6398960000000002</v>
      </c>
      <c r="I128" s="181">
        <v>2.7600160000000002</v>
      </c>
      <c r="J128" s="181">
        <v>2.8303259999999999</v>
      </c>
      <c r="K128" s="181">
        <v>2.8529040000000001</v>
      </c>
      <c r="L128" s="181">
        <v>2.6716860000000002</v>
      </c>
      <c r="M128" s="181">
        <v>2.6905600000000001</v>
      </c>
      <c r="N128" s="181">
        <v>2.7367319999999999</v>
      </c>
      <c r="O128" s="181">
        <v>2.7219579999999999</v>
      </c>
      <c r="P128" s="181">
        <v>2.6874600000000002</v>
      </c>
      <c r="Q128" s="181">
        <v>2.7043680000000001</v>
      </c>
      <c r="R128">
        <f t="shared" si="1"/>
        <v>2.6846817500000002</v>
      </c>
    </row>
    <row r="129" spans="1:18" x14ac:dyDescent="0.25">
      <c r="A129" s="5" t="s">
        <v>408</v>
      </c>
      <c r="B129" s="178">
        <v>2.6767620000000001</v>
      </c>
      <c r="C129" s="178">
        <v>2.6920259999999998</v>
      </c>
      <c r="D129" s="178">
        <v>2.6765620000000001</v>
      </c>
      <c r="E129" s="178">
        <v>2.6942240000000002</v>
      </c>
      <c r="F129" s="178">
        <v>2.7158919999999998</v>
      </c>
      <c r="G129" s="178">
        <v>2.704126</v>
      </c>
      <c r="H129" s="178">
        <v>2.721714</v>
      </c>
      <c r="I129" s="178">
        <v>2.845532</v>
      </c>
      <c r="J129" s="178">
        <v>2.9131860000000001</v>
      </c>
      <c r="K129" s="178">
        <v>2.9359000000000002</v>
      </c>
      <c r="L129" s="178">
        <v>2.7535659999999997</v>
      </c>
      <c r="M129" s="178">
        <v>2.7725580000000001</v>
      </c>
      <c r="N129" s="178">
        <v>2.8190140000000001</v>
      </c>
      <c r="O129" s="178">
        <v>2.8041480000000001</v>
      </c>
      <c r="P129" s="178">
        <v>2.769228</v>
      </c>
      <c r="Q129" s="178">
        <v>2.7865859999999998</v>
      </c>
      <c r="R129">
        <f t="shared" si="1"/>
        <v>2.7675639999999997</v>
      </c>
    </row>
    <row r="130" spans="1:18" x14ac:dyDescent="0.25">
      <c r="A130" s="5" t="s">
        <v>409</v>
      </c>
      <c r="B130" s="178">
        <v>2.6453000000000002</v>
      </c>
      <c r="C130" s="178">
        <v>2.6575000000000002</v>
      </c>
      <c r="D130" s="178">
        <v>2.6434000000000002</v>
      </c>
      <c r="E130" s="178">
        <v>2.6596000000000002</v>
      </c>
      <c r="F130" s="178">
        <v>2.6793999999999998</v>
      </c>
      <c r="G130" s="178">
        <v>2.6673</v>
      </c>
      <c r="H130" s="178">
        <v>2.6850000000000001</v>
      </c>
      <c r="I130" s="178">
        <v>2.8083999999999998</v>
      </c>
      <c r="J130" s="178">
        <v>2.8719999999999999</v>
      </c>
      <c r="K130" s="178">
        <v>2.8942000000000001</v>
      </c>
      <c r="L130" s="178">
        <v>2.7161</v>
      </c>
      <c r="M130" s="178">
        <v>2.7347000000000001</v>
      </c>
      <c r="N130" s="178">
        <v>2.78</v>
      </c>
      <c r="O130" s="178">
        <v>2.7654999999999998</v>
      </c>
      <c r="P130" s="178">
        <v>2.7309000000000001</v>
      </c>
      <c r="Q130" s="178">
        <v>2.7483</v>
      </c>
      <c r="R130">
        <f t="shared" ref="R130:R193" si="2">SUM(B130:Q130)/COUNT(B130:Q130)</f>
        <v>2.7304750000000002</v>
      </c>
    </row>
    <row r="131" spans="1:18" x14ac:dyDescent="0.25">
      <c r="A131" s="5" t="s">
        <v>410</v>
      </c>
      <c r="B131" s="178">
        <v>2.617804</v>
      </c>
      <c r="C131" s="178">
        <v>2.631116</v>
      </c>
      <c r="D131" s="178">
        <v>2.616838</v>
      </c>
      <c r="E131" s="178">
        <v>2.6331180000000001</v>
      </c>
      <c r="F131" s="178">
        <v>2.6530860000000001</v>
      </c>
      <c r="G131" s="178">
        <v>2.641076</v>
      </c>
      <c r="H131" s="178">
        <v>2.6583480000000002</v>
      </c>
      <c r="I131" s="178">
        <v>2.7785820000000001</v>
      </c>
      <c r="J131" s="178">
        <v>2.8419379999999999</v>
      </c>
      <c r="K131" s="178">
        <v>2.86368</v>
      </c>
      <c r="L131" s="178">
        <v>2.6891479999999999</v>
      </c>
      <c r="M131" s="178">
        <v>2.7073260000000001</v>
      </c>
      <c r="N131" s="178">
        <v>2.7517960000000001</v>
      </c>
      <c r="O131" s="178">
        <v>2.7375660000000002</v>
      </c>
      <c r="P131" s="178">
        <v>2.703392</v>
      </c>
      <c r="Q131" s="178">
        <v>2.7204419999999998</v>
      </c>
      <c r="R131">
        <f t="shared" si="2"/>
        <v>2.7028284999999999</v>
      </c>
    </row>
    <row r="132" spans="1:18" x14ac:dyDescent="0.25">
      <c r="A132" s="5" t="s">
        <v>411</v>
      </c>
      <c r="B132" s="178">
        <v>2.6510199999999999</v>
      </c>
      <c r="C132" s="178">
        <v>2.6672899999999999</v>
      </c>
      <c r="D132" s="178">
        <v>2.6519540000000004</v>
      </c>
      <c r="E132" s="178">
        <v>2.6694400000000003</v>
      </c>
      <c r="F132" s="178">
        <v>2.6908840000000001</v>
      </c>
      <c r="G132" s="178">
        <v>2.6790959999999999</v>
      </c>
      <c r="H132" s="178">
        <v>2.6965500000000002</v>
      </c>
      <c r="I132" s="178">
        <v>2.811588</v>
      </c>
      <c r="J132" s="178">
        <v>2.8772759999999997</v>
      </c>
      <c r="K132" s="178">
        <v>2.8987379999999998</v>
      </c>
      <c r="L132" s="178">
        <v>2.72648</v>
      </c>
      <c r="M132" s="178">
        <v>2.7444199999999999</v>
      </c>
      <c r="N132" s="178">
        <v>2.7883079999999998</v>
      </c>
      <c r="O132" s="178">
        <v>2.7742640000000001</v>
      </c>
      <c r="P132" s="178">
        <v>2.7405999999999997</v>
      </c>
      <c r="Q132" s="178">
        <v>2.7578400000000003</v>
      </c>
      <c r="R132">
        <f t="shared" si="2"/>
        <v>2.7391092500000003</v>
      </c>
    </row>
    <row r="133" spans="1:18" x14ac:dyDescent="0.25">
      <c r="A133" s="5" t="s">
        <v>412</v>
      </c>
      <c r="B133" s="178">
        <v>2.6887859999999999</v>
      </c>
      <c r="C133" s="178">
        <v>2.723576</v>
      </c>
      <c r="D133" s="178">
        <v>2.7011379999999998</v>
      </c>
      <c r="E133" s="178">
        <v>2.7264059999999999</v>
      </c>
      <c r="F133" s="178">
        <v>2.7573440000000002</v>
      </c>
      <c r="G133" s="178">
        <v>2.7470759999999999</v>
      </c>
      <c r="H133" s="178">
        <v>2.7643200000000001</v>
      </c>
      <c r="I133" s="178">
        <v>2.858476</v>
      </c>
      <c r="J133" s="178">
        <v>2.941052</v>
      </c>
      <c r="K133" s="178">
        <v>2.9622020000000004</v>
      </c>
      <c r="L133" s="178">
        <v>2.7924259999999999</v>
      </c>
      <c r="M133" s="178">
        <v>2.8101060000000002</v>
      </c>
      <c r="N133" s="178">
        <v>2.8533659999999998</v>
      </c>
      <c r="O133" s="178">
        <v>2.8395239999999999</v>
      </c>
      <c r="P133" s="178">
        <v>2.8076979999999998</v>
      </c>
      <c r="Q133" s="178">
        <v>2.8247260000000001</v>
      </c>
      <c r="R133">
        <f t="shared" si="2"/>
        <v>2.7998888749999997</v>
      </c>
    </row>
    <row r="134" spans="1:18" x14ac:dyDescent="0.25">
      <c r="A134" s="5" t="s">
        <v>413</v>
      </c>
      <c r="B134" s="178">
        <v>2.631624</v>
      </c>
      <c r="C134" s="178">
        <v>2.6477119999999998</v>
      </c>
      <c r="D134" s="178">
        <v>2.6325560000000001</v>
      </c>
      <c r="E134" s="178">
        <v>2.6498000000000004</v>
      </c>
      <c r="F134" s="178">
        <v>2.6709479999999997</v>
      </c>
      <c r="G134" s="178">
        <v>2.6591239999999998</v>
      </c>
      <c r="H134" s="178">
        <v>2.6763820000000003</v>
      </c>
      <c r="I134" s="178">
        <v>2.7905600000000002</v>
      </c>
      <c r="J134" s="178">
        <v>2.8554360000000001</v>
      </c>
      <c r="K134" s="178">
        <v>2.8766780000000001</v>
      </c>
      <c r="L134" s="178">
        <v>2.7061760000000001</v>
      </c>
      <c r="M134" s="178">
        <v>2.7239340000000003</v>
      </c>
      <c r="N134" s="178">
        <v>2.7673760000000001</v>
      </c>
      <c r="O134" s="178">
        <v>2.7534779999999999</v>
      </c>
      <c r="P134" s="178">
        <v>2.720002</v>
      </c>
      <c r="Q134" s="178">
        <v>2.737044</v>
      </c>
      <c r="R134">
        <f t="shared" si="2"/>
        <v>2.7186768749999999</v>
      </c>
    </row>
    <row r="135" spans="1:18" x14ac:dyDescent="0.25">
      <c r="A135" s="5" t="s">
        <v>414</v>
      </c>
      <c r="B135" s="181">
        <v>2.6341039999999998</v>
      </c>
      <c r="C135" s="181">
        <v>2.6460599999999999</v>
      </c>
      <c r="D135" s="181">
        <v>2.6325079999999996</v>
      </c>
      <c r="E135" s="181">
        <v>2.6480239999999999</v>
      </c>
      <c r="F135" s="181">
        <v>2.6670720000000001</v>
      </c>
      <c r="G135" s="181">
        <v>2.6549019999999999</v>
      </c>
      <c r="H135" s="181">
        <v>2.6723380000000003</v>
      </c>
      <c r="I135" s="181">
        <v>2.7904819999999999</v>
      </c>
      <c r="J135" s="181">
        <v>2.8515259999999998</v>
      </c>
      <c r="K135" s="181">
        <v>2.8727640000000001</v>
      </c>
      <c r="L135" s="181">
        <v>2.702296</v>
      </c>
      <c r="M135" s="181">
        <v>2.7200500000000001</v>
      </c>
      <c r="N135" s="181">
        <v>2.7634819999999998</v>
      </c>
      <c r="O135" s="181">
        <v>2.749584</v>
      </c>
      <c r="P135" s="181">
        <v>2.7157680000000002</v>
      </c>
      <c r="Q135" s="181">
        <v>2.7329879999999998</v>
      </c>
      <c r="R135">
        <f t="shared" si="2"/>
        <v>2.7158717499999994</v>
      </c>
    </row>
    <row r="136" spans="1:18" x14ac:dyDescent="0.25">
      <c r="A136" s="5" t="s">
        <v>415</v>
      </c>
      <c r="B136" s="178">
        <v>2.6043000000000003</v>
      </c>
      <c r="C136" s="178">
        <v>2.6144630000000002</v>
      </c>
      <c r="D136" s="178">
        <v>2.6019430000000003</v>
      </c>
      <c r="E136" s="178">
        <v>2.6162930000000002</v>
      </c>
      <c r="F136" s="178">
        <v>2.6339079999999999</v>
      </c>
      <c r="G136" s="178">
        <v>2.621515</v>
      </c>
      <c r="H136" s="178">
        <v>2.63883</v>
      </c>
      <c r="I136" s="178">
        <v>2.7540329999999997</v>
      </c>
      <c r="J136" s="178">
        <v>2.8114899999999996</v>
      </c>
      <c r="K136" s="178">
        <v>2.8319329999999998</v>
      </c>
      <c r="L136" s="178">
        <v>2.667815</v>
      </c>
      <c r="M136" s="178">
        <v>2.6849080000000001</v>
      </c>
      <c r="N136" s="178">
        <v>2.7267229999999998</v>
      </c>
      <c r="O136" s="178">
        <v>2.7133430000000001</v>
      </c>
      <c r="P136" s="178">
        <v>2.6801179999999998</v>
      </c>
      <c r="Q136" s="178">
        <v>2.6972230000000001</v>
      </c>
      <c r="R136">
        <f t="shared" si="2"/>
        <v>2.6811773750000003</v>
      </c>
    </row>
    <row r="137" spans="1:18" x14ac:dyDescent="0.25">
      <c r="A137" s="5" t="s">
        <v>416</v>
      </c>
      <c r="B137" s="178">
        <v>2.64391</v>
      </c>
      <c r="C137" s="178">
        <v>2.6578620000000002</v>
      </c>
      <c r="D137" s="178">
        <v>2.64392</v>
      </c>
      <c r="E137" s="178">
        <v>2.6597719999999998</v>
      </c>
      <c r="F137" s="178">
        <v>2.6792020000000001</v>
      </c>
      <c r="G137" s="178">
        <v>2.6671239999999998</v>
      </c>
      <c r="H137" s="178">
        <v>2.6841399999999997</v>
      </c>
      <c r="I137" s="178">
        <v>2.7953560000000004</v>
      </c>
      <c r="J137" s="178">
        <v>2.85602</v>
      </c>
      <c r="K137" s="178">
        <v>2.8763739999999998</v>
      </c>
      <c r="L137" s="178">
        <v>2.7129639999999999</v>
      </c>
      <c r="M137" s="178">
        <v>2.7299859999999998</v>
      </c>
      <c r="N137" s="178">
        <v>2.77162</v>
      </c>
      <c r="O137" s="178">
        <v>2.7582979999999999</v>
      </c>
      <c r="P137" s="178">
        <v>2.7254699999999996</v>
      </c>
      <c r="Q137" s="178">
        <v>2.7422820000000003</v>
      </c>
      <c r="R137">
        <f t="shared" si="2"/>
        <v>2.7252687499999997</v>
      </c>
    </row>
    <row r="138" spans="1:18" x14ac:dyDescent="0.25">
      <c r="A138" s="5" t="s">
        <v>417</v>
      </c>
      <c r="B138" s="178">
        <v>2.6852620000000003</v>
      </c>
      <c r="C138" s="178">
        <v>2.7032940000000001</v>
      </c>
      <c r="D138" s="178">
        <v>2.6878139999999999</v>
      </c>
      <c r="E138" s="178">
        <v>2.7052480000000001</v>
      </c>
      <c r="F138" s="178">
        <v>2.726588</v>
      </c>
      <c r="G138" s="178">
        <v>2.7148539999999999</v>
      </c>
      <c r="H138" s="178">
        <v>2.7314020000000001</v>
      </c>
      <c r="I138" s="178">
        <v>2.8387899999999999</v>
      </c>
      <c r="J138" s="178">
        <v>2.9028679999999998</v>
      </c>
      <c r="K138" s="178">
        <v>2.9231640000000003</v>
      </c>
      <c r="L138" s="178">
        <v>2.7602500000000001</v>
      </c>
      <c r="M138" s="178">
        <v>2.7772199999999998</v>
      </c>
      <c r="N138" s="178">
        <v>2.8187280000000001</v>
      </c>
      <c r="O138" s="178">
        <v>2.805444</v>
      </c>
      <c r="P138" s="178">
        <v>2.7730239999999999</v>
      </c>
      <c r="Q138" s="178">
        <v>2.7893659999999998</v>
      </c>
      <c r="R138">
        <f t="shared" si="2"/>
        <v>2.7714572500000001</v>
      </c>
    </row>
    <row r="139" spans="1:18" x14ac:dyDescent="0.25">
      <c r="A139" s="5" t="s">
        <v>418</v>
      </c>
      <c r="B139" s="178">
        <v>2.6646000000000001</v>
      </c>
      <c r="C139" s="178">
        <v>2.6786880000000002</v>
      </c>
      <c r="D139" s="178">
        <v>2.6648620000000003</v>
      </c>
      <c r="E139" s="178">
        <v>2.6805459999999997</v>
      </c>
      <c r="F139" s="178">
        <v>2.6997659999999999</v>
      </c>
      <c r="G139" s="178">
        <v>2.6876700000000002</v>
      </c>
      <c r="H139" s="178">
        <v>2.7045360000000001</v>
      </c>
      <c r="I139" s="178">
        <v>2.8133620000000001</v>
      </c>
      <c r="J139" s="178">
        <v>2.8731559999999998</v>
      </c>
      <c r="K139" s="178">
        <v>2.8931199999999997</v>
      </c>
      <c r="L139" s="178">
        <v>2.7328780000000004</v>
      </c>
      <c r="M139" s="178">
        <v>2.7495659999999997</v>
      </c>
      <c r="N139" s="178">
        <v>2.7903919999999998</v>
      </c>
      <c r="O139" s="178">
        <v>2.7773279999999998</v>
      </c>
      <c r="P139" s="178">
        <v>2.7448839999999999</v>
      </c>
      <c r="Q139" s="178">
        <v>2.7615479999999999</v>
      </c>
      <c r="R139">
        <f t="shared" si="2"/>
        <v>2.7448063749999996</v>
      </c>
    </row>
    <row r="140" spans="1:18" x14ac:dyDescent="0.25">
      <c r="A140" s="5" t="s">
        <v>419</v>
      </c>
      <c r="B140" s="178">
        <v>2.6896260000000001</v>
      </c>
      <c r="C140" s="178">
        <v>2.7089940000000001</v>
      </c>
      <c r="D140" s="178">
        <v>2.693082</v>
      </c>
      <c r="E140" s="178">
        <v>2.711058</v>
      </c>
      <c r="F140" s="178">
        <v>2.7330779999999999</v>
      </c>
      <c r="G140" s="178">
        <v>2.7214239999999998</v>
      </c>
      <c r="H140" s="178">
        <v>2.7382520000000001</v>
      </c>
      <c r="I140" s="178">
        <v>2.8420300000000003</v>
      </c>
      <c r="J140" s="178">
        <v>2.9069820000000002</v>
      </c>
      <c r="K140" s="178">
        <v>2.927006</v>
      </c>
      <c r="L140" s="178">
        <v>2.7662840000000002</v>
      </c>
      <c r="M140" s="178">
        <v>2.7830239999999997</v>
      </c>
      <c r="N140" s="178">
        <v>2.8239720000000004</v>
      </c>
      <c r="O140" s="178">
        <v>2.8108680000000001</v>
      </c>
      <c r="P140" s="178">
        <v>2.7788080000000002</v>
      </c>
      <c r="Q140" s="178">
        <v>2.795436</v>
      </c>
      <c r="R140">
        <f t="shared" si="2"/>
        <v>2.7768702499999995</v>
      </c>
    </row>
    <row r="141" spans="1:18" x14ac:dyDescent="0.25">
      <c r="A141" s="5" t="s">
        <v>420</v>
      </c>
      <c r="B141" s="178">
        <v>2.8099229999999999</v>
      </c>
      <c r="C141" s="178">
        <v>2.8254380000000001</v>
      </c>
      <c r="D141" s="178">
        <v>2.8106430000000002</v>
      </c>
      <c r="E141" s="178">
        <v>2.8273580000000003</v>
      </c>
      <c r="F141" s="178">
        <v>2.8478330000000001</v>
      </c>
      <c r="G141" s="178">
        <v>2.8359479999999997</v>
      </c>
      <c r="H141" s="178">
        <v>2.8526599999999998</v>
      </c>
      <c r="I141" s="178">
        <v>2.9668449999999997</v>
      </c>
      <c r="J141" s="178">
        <v>3.0302150000000001</v>
      </c>
      <c r="K141" s="178">
        <v>3.051218</v>
      </c>
      <c r="L141" s="178">
        <v>2.88266</v>
      </c>
      <c r="M141" s="178">
        <v>2.9002150000000002</v>
      </c>
      <c r="N141" s="178">
        <v>2.9431630000000002</v>
      </c>
      <c r="O141" s="178">
        <v>2.9294199999999999</v>
      </c>
      <c r="P141" s="178">
        <v>2.8961300000000003</v>
      </c>
      <c r="Q141" s="178">
        <v>2.9126300000000001</v>
      </c>
      <c r="R141">
        <f t="shared" si="2"/>
        <v>2.8951436875000001</v>
      </c>
    </row>
    <row r="142" spans="1:18" x14ac:dyDescent="0.25">
      <c r="A142" s="5" t="s">
        <v>421</v>
      </c>
      <c r="B142" s="178">
        <v>2.7884479999999998</v>
      </c>
      <c r="C142" s="178">
        <v>2.8027379999999997</v>
      </c>
      <c r="D142" s="178">
        <v>2.7885580000000001</v>
      </c>
      <c r="E142" s="178">
        <v>2.8046679999999999</v>
      </c>
      <c r="F142" s="178">
        <v>2.8244160000000003</v>
      </c>
      <c r="G142" s="178">
        <v>2.8123899999999997</v>
      </c>
      <c r="H142" s="178">
        <v>2.829402</v>
      </c>
      <c r="I142" s="178">
        <v>2.9419079999999997</v>
      </c>
      <c r="J142" s="178">
        <v>3.0034679999999998</v>
      </c>
      <c r="K142" s="178">
        <v>3.0240859999999996</v>
      </c>
      <c r="L142" s="178">
        <v>2.8586080000000003</v>
      </c>
      <c r="M142" s="178">
        <v>2.875842</v>
      </c>
      <c r="N142" s="178">
        <v>2.9180039999999998</v>
      </c>
      <c r="O142" s="178">
        <v>2.9045140000000003</v>
      </c>
      <c r="P142" s="178">
        <v>2.8714759999999999</v>
      </c>
      <c r="Q142" s="178">
        <v>2.8882800000000004</v>
      </c>
      <c r="R142">
        <f t="shared" si="2"/>
        <v>2.8710503749999994</v>
      </c>
    </row>
    <row r="143" spans="1:18" x14ac:dyDescent="0.25">
      <c r="A143" s="5" t="s">
        <v>422</v>
      </c>
      <c r="B143" s="178">
        <v>2.7105279999999996</v>
      </c>
      <c r="C143" s="178">
        <v>2.72505</v>
      </c>
      <c r="D143" s="178">
        <v>2.710636</v>
      </c>
      <c r="E143" s="178">
        <v>2.7270219999999998</v>
      </c>
      <c r="F143" s="178">
        <v>2.7471160000000001</v>
      </c>
      <c r="G143" s="178">
        <v>2.7351359999999998</v>
      </c>
      <c r="H143" s="178">
        <v>2.752224</v>
      </c>
      <c r="I143" s="178">
        <v>2.8664699999999996</v>
      </c>
      <c r="J143" s="178">
        <v>2.929068</v>
      </c>
      <c r="K143" s="178">
        <v>2.9500160000000002</v>
      </c>
      <c r="L143" s="178">
        <v>2.78186</v>
      </c>
      <c r="M143" s="178">
        <v>2.7993699999999997</v>
      </c>
      <c r="N143" s="178">
        <v>2.8422139999999998</v>
      </c>
      <c r="O143" s="178">
        <v>2.828506</v>
      </c>
      <c r="P143" s="178">
        <v>2.7951779999999999</v>
      </c>
      <c r="Q143" s="178">
        <v>2.8120540000000003</v>
      </c>
      <c r="R143">
        <f t="shared" si="2"/>
        <v>2.7945279999999997</v>
      </c>
    </row>
    <row r="144" spans="1:18" x14ac:dyDescent="0.25">
      <c r="A144" s="5" t="s">
        <v>423</v>
      </c>
      <c r="B144" s="178">
        <v>2.7975839999999996</v>
      </c>
      <c r="C144" s="178">
        <v>2.8131740000000001</v>
      </c>
      <c r="D144" s="178">
        <v>2.7984439999999999</v>
      </c>
      <c r="E144" s="178">
        <v>2.8151660000000001</v>
      </c>
      <c r="F144" s="178">
        <v>2.8356660000000002</v>
      </c>
      <c r="G144" s="178">
        <v>2.8237620000000003</v>
      </c>
      <c r="H144" s="178">
        <v>2.8408000000000002</v>
      </c>
      <c r="I144" s="178">
        <v>2.952512</v>
      </c>
      <c r="J144" s="178">
        <v>3.0155620000000001</v>
      </c>
      <c r="K144" s="178">
        <v>3.036276</v>
      </c>
      <c r="L144" s="178">
        <v>2.870018</v>
      </c>
      <c r="M144" s="178">
        <v>2.8873359999999999</v>
      </c>
      <c r="N144" s="178">
        <v>2.9296959999999999</v>
      </c>
      <c r="O144" s="178">
        <v>2.91614</v>
      </c>
      <c r="P144" s="178">
        <v>2.8831219999999997</v>
      </c>
      <c r="Q144" s="178">
        <v>2.8999520000000003</v>
      </c>
      <c r="R144">
        <f t="shared" si="2"/>
        <v>2.8822006249999998</v>
      </c>
    </row>
    <row r="145" spans="1:18" x14ac:dyDescent="0.25">
      <c r="A145" s="5" t="s">
        <v>424</v>
      </c>
      <c r="B145" s="178">
        <v>2.7488560000000004</v>
      </c>
      <c r="C145" s="178">
        <v>2.764834</v>
      </c>
      <c r="D145" s="178">
        <v>2.7498860000000001</v>
      </c>
      <c r="E145" s="178">
        <v>2.7668080000000002</v>
      </c>
      <c r="F145" s="178">
        <v>2.787544</v>
      </c>
      <c r="G145" s="178">
        <v>2.7756880000000002</v>
      </c>
      <c r="H145" s="178">
        <v>2.7925720000000003</v>
      </c>
      <c r="I145" s="178">
        <v>2.9053299999999997</v>
      </c>
      <c r="J145" s="178">
        <v>2.9690459999999996</v>
      </c>
      <c r="K145" s="178">
        <v>2.9899439999999999</v>
      </c>
      <c r="L145" s="178">
        <v>2.8222020000000003</v>
      </c>
      <c r="M145" s="178">
        <v>2.839674</v>
      </c>
      <c r="N145" s="178">
        <v>2.882412</v>
      </c>
      <c r="O145" s="178">
        <v>2.868738</v>
      </c>
      <c r="P145" s="178">
        <v>2.835582</v>
      </c>
      <c r="Q145" s="178">
        <v>2.852252</v>
      </c>
      <c r="R145">
        <f t="shared" si="2"/>
        <v>2.8344605000000005</v>
      </c>
    </row>
    <row r="146" spans="1:18" x14ac:dyDescent="0.25">
      <c r="A146" s="5" t="s">
        <v>425</v>
      </c>
      <c r="B146" s="178">
        <v>2.7053719999999997</v>
      </c>
      <c r="C146" s="178">
        <v>2.719964</v>
      </c>
      <c r="D146" s="178">
        <v>2.7055180000000001</v>
      </c>
      <c r="E146" s="178">
        <v>2.7219180000000001</v>
      </c>
      <c r="F146" s="178">
        <v>2.7420259999999996</v>
      </c>
      <c r="G146" s="178">
        <v>2.7300580000000001</v>
      </c>
      <c r="H146" s="178">
        <v>2.747052</v>
      </c>
      <c r="I146" s="178">
        <v>2.8616100000000002</v>
      </c>
      <c r="J146" s="178">
        <v>2.924274</v>
      </c>
      <c r="K146" s="178">
        <v>2.9452579999999999</v>
      </c>
      <c r="L146" s="178">
        <v>2.776824</v>
      </c>
      <c r="M146" s="178">
        <v>2.794368</v>
      </c>
      <c r="N146" s="178">
        <v>2.8372839999999999</v>
      </c>
      <c r="O146" s="178">
        <v>2.8235520000000003</v>
      </c>
      <c r="P146" s="178">
        <v>2.7901940000000001</v>
      </c>
      <c r="Q146" s="178">
        <v>2.8069799999999998</v>
      </c>
      <c r="R146">
        <f t="shared" si="2"/>
        <v>2.7895157500000001</v>
      </c>
    </row>
    <row r="147" spans="1:18" x14ac:dyDescent="0.25">
      <c r="A147" s="5" t="s">
        <v>426</v>
      </c>
      <c r="B147" s="178">
        <v>2.6962640000000002</v>
      </c>
      <c r="C147" s="178">
        <v>2.7081819999999999</v>
      </c>
      <c r="D147" s="178">
        <v>2.6945399999999999</v>
      </c>
      <c r="E147" s="178">
        <v>2.7101819999999996</v>
      </c>
      <c r="F147" s="178">
        <v>2.7293859999999999</v>
      </c>
      <c r="G147" s="178">
        <v>2.7172260000000001</v>
      </c>
      <c r="H147" s="178">
        <v>2.7347600000000001</v>
      </c>
      <c r="I147" s="178">
        <v>2.8542359999999998</v>
      </c>
      <c r="J147" s="178">
        <v>2.9158400000000002</v>
      </c>
      <c r="K147" s="178">
        <v>2.9373100000000001</v>
      </c>
      <c r="L147" s="178">
        <v>2.7649859999999999</v>
      </c>
      <c r="M147" s="178">
        <v>2.7829319999999997</v>
      </c>
      <c r="N147" s="178">
        <v>2.8268380000000004</v>
      </c>
      <c r="O147" s="178">
        <v>2.812792</v>
      </c>
      <c r="P147" s="178">
        <v>2.778756</v>
      </c>
      <c r="Q147" s="178">
        <v>2.7960700000000003</v>
      </c>
      <c r="R147">
        <f t="shared" si="2"/>
        <v>2.7787687500000007</v>
      </c>
    </row>
    <row r="148" spans="1:18" x14ac:dyDescent="0.25">
      <c r="A148" s="5" t="s">
        <v>427</v>
      </c>
      <c r="B148" s="178">
        <v>2.708418</v>
      </c>
      <c r="C148" s="178">
        <v>2.718944</v>
      </c>
      <c r="D148" s="178">
        <v>2.7059820000000001</v>
      </c>
      <c r="E148" s="178">
        <v>2.7208780000000004</v>
      </c>
      <c r="F148" s="178">
        <v>2.7391700000000001</v>
      </c>
      <c r="G148" s="178">
        <v>2.7268699999999999</v>
      </c>
      <c r="H148" s="178">
        <v>2.7444299999999999</v>
      </c>
      <c r="I148" s="178">
        <v>2.8632179999999998</v>
      </c>
      <c r="J148" s="178">
        <v>2.9227600000000002</v>
      </c>
      <c r="K148" s="178">
        <v>2.9438960000000001</v>
      </c>
      <c r="L148" s="178">
        <v>2.7742260000000001</v>
      </c>
      <c r="M148" s="178">
        <v>2.7919</v>
      </c>
      <c r="N148" s="178">
        <v>2.8351280000000001</v>
      </c>
      <c r="O148" s="178">
        <v>2.821294</v>
      </c>
      <c r="P148" s="178">
        <v>2.7874540000000003</v>
      </c>
      <c r="Q148" s="178">
        <v>2.8047959999999996</v>
      </c>
      <c r="R148">
        <f t="shared" si="2"/>
        <v>2.78808525</v>
      </c>
    </row>
    <row r="149" spans="1:18" x14ac:dyDescent="0.25">
      <c r="A149" s="5" t="s">
        <v>428</v>
      </c>
      <c r="B149" s="178">
        <v>2.807382</v>
      </c>
      <c r="C149" s="178">
        <v>2.8157899999999998</v>
      </c>
      <c r="D149" s="178">
        <v>2.8037920000000001</v>
      </c>
      <c r="E149" s="178">
        <v>2.8176519999999998</v>
      </c>
      <c r="F149" s="178">
        <v>2.8346819999999999</v>
      </c>
      <c r="G149" s="178">
        <v>2.8221759999999998</v>
      </c>
      <c r="H149" s="178">
        <v>2.8398319999999999</v>
      </c>
      <c r="I149" s="178">
        <v>2.958488</v>
      </c>
      <c r="J149" s="178">
        <v>3.0153119999999998</v>
      </c>
      <c r="K149" s="178">
        <v>3.0361039999999999</v>
      </c>
      <c r="L149" s="178">
        <v>2.8691740000000001</v>
      </c>
      <c r="M149" s="178">
        <v>2.8865599999999998</v>
      </c>
      <c r="N149" s="178">
        <v>2.9290959999999999</v>
      </c>
      <c r="O149" s="178">
        <v>2.9154839999999997</v>
      </c>
      <c r="P149" s="178">
        <v>2.8817779999999997</v>
      </c>
      <c r="Q149" s="178">
        <v>2.8992260000000001</v>
      </c>
      <c r="R149">
        <f t="shared" si="2"/>
        <v>2.883283</v>
      </c>
    </row>
    <row r="150" spans="1:18" x14ac:dyDescent="0.25">
      <c r="A150" s="5" t="s">
        <v>429</v>
      </c>
      <c r="B150" s="178">
        <v>2.8516430000000001</v>
      </c>
      <c r="C150" s="178">
        <v>2.8589199999999999</v>
      </c>
      <c r="D150" s="178">
        <v>2.8472179999999998</v>
      </c>
      <c r="E150" s="178">
        <v>2.8607779999999998</v>
      </c>
      <c r="F150" s="178">
        <v>2.8774430000000004</v>
      </c>
      <c r="G150" s="178">
        <v>2.8648699999999998</v>
      </c>
      <c r="H150" s="178">
        <v>2.8826480000000001</v>
      </c>
      <c r="I150" s="178">
        <v>3.0043299999999999</v>
      </c>
      <c r="J150" s="178">
        <v>3.0608879999999998</v>
      </c>
      <c r="K150" s="178">
        <v>3.0820100000000004</v>
      </c>
      <c r="L150" s="178">
        <v>2.9124729999999999</v>
      </c>
      <c r="M150" s="178">
        <v>2.9301329999999997</v>
      </c>
      <c r="N150" s="178">
        <v>2.9733299999999998</v>
      </c>
      <c r="O150" s="178">
        <v>2.959508</v>
      </c>
      <c r="P150" s="178">
        <v>2.9254029999999998</v>
      </c>
      <c r="Q150" s="178">
        <v>2.942968</v>
      </c>
      <c r="R150">
        <f t="shared" si="2"/>
        <v>2.9271601874999997</v>
      </c>
    </row>
    <row r="151" spans="1:18" x14ac:dyDescent="0.25">
      <c r="A151" s="5" t="s">
        <v>430</v>
      </c>
      <c r="B151" s="178">
        <v>2.9347939999999997</v>
      </c>
      <c r="C151" s="178">
        <v>2.9413159999999996</v>
      </c>
      <c r="D151" s="178">
        <v>2.9299240000000002</v>
      </c>
      <c r="E151" s="178">
        <v>2.943098</v>
      </c>
      <c r="F151" s="178">
        <v>2.9592899999999998</v>
      </c>
      <c r="G151" s="178">
        <v>2.9466559999999999</v>
      </c>
      <c r="H151" s="178">
        <v>2.9642339999999998</v>
      </c>
      <c r="I151" s="178">
        <v>3.08711</v>
      </c>
      <c r="J151" s="178">
        <v>3.1428220000000002</v>
      </c>
      <c r="K151" s="178">
        <v>3.1639520000000001</v>
      </c>
      <c r="L151" s="178">
        <v>2.9943380000000004</v>
      </c>
      <c r="M151" s="178">
        <v>3.0120040000000001</v>
      </c>
      <c r="N151" s="178">
        <v>3.055218</v>
      </c>
      <c r="O151" s="178">
        <v>3.0413919999999997</v>
      </c>
      <c r="P151" s="178">
        <v>3.0072179999999999</v>
      </c>
      <c r="Q151" s="178">
        <v>3.0245819999999997</v>
      </c>
      <c r="R151">
        <f t="shared" si="2"/>
        <v>3.00924675</v>
      </c>
    </row>
    <row r="152" spans="1:18" x14ac:dyDescent="0.25">
      <c r="A152" s="5" t="s">
        <v>431</v>
      </c>
      <c r="B152" s="178">
        <v>3.0087839999999999</v>
      </c>
      <c r="C152" s="178">
        <v>3.0147740000000001</v>
      </c>
      <c r="D152" s="178">
        <v>3.0034899999999998</v>
      </c>
      <c r="E152" s="178">
        <v>3.016594</v>
      </c>
      <c r="F152" s="178">
        <v>3.032708</v>
      </c>
      <c r="G152" s="178">
        <v>3.0200399999999998</v>
      </c>
      <c r="H152" s="178">
        <v>3.037836</v>
      </c>
      <c r="I152" s="178">
        <v>3.1621760000000001</v>
      </c>
      <c r="J152" s="178">
        <v>3.2179899999999999</v>
      </c>
      <c r="K152" s="178">
        <v>3.2393239999999999</v>
      </c>
      <c r="L152" s="178">
        <v>3.0680839999999998</v>
      </c>
      <c r="M152" s="178">
        <v>3.0859200000000002</v>
      </c>
      <c r="N152" s="178">
        <v>3.1295479999999998</v>
      </c>
      <c r="O152" s="178">
        <v>3.1155900000000001</v>
      </c>
      <c r="P152" s="178">
        <v>3.0811799999999998</v>
      </c>
      <c r="Q152" s="178">
        <v>3.0987600000000004</v>
      </c>
      <c r="R152">
        <f t="shared" si="2"/>
        <v>3.0832998749999998</v>
      </c>
    </row>
    <row r="153" spans="1:18" x14ac:dyDescent="0.25">
      <c r="A153" s="5" t="s">
        <v>432</v>
      </c>
      <c r="B153" s="178">
        <v>3.2188919999999999</v>
      </c>
      <c r="C153" s="178">
        <v>3.2328560000000004</v>
      </c>
      <c r="D153" s="178">
        <v>3.2183159999999997</v>
      </c>
      <c r="E153" s="178">
        <v>3.2348939999999997</v>
      </c>
      <c r="F153" s="178">
        <v>3.255226</v>
      </c>
      <c r="G153" s="178">
        <v>3.243268</v>
      </c>
      <c r="H153" s="178">
        <v>3.2605759999999999</v>
      </c>
      <c r="I153" s="178">
        <v>3.3801399999999999</v>
      </c>
      <c r="J153" s="178">
        <v>3.4441739999999998</v>
      </c>
      <c r="K153" s="178">
        <v>3.4659319999999996</v>
      </c>
      <c r="L153" s="178">
        <v>3.2913079999999999</v>
      </c>
      <c r="M153" s="178">
        <v>3.3094999999999999</v>
      </c>
      <c r="N153" s="178">
        <v>3.3539859999999999</v>
      </c>
      <c r="O153" s="178">
        <v>3.3397519999999998</v>
      </c>
      <c r="P153" s="178">
        <v>3.3056179999999999</v>
      </c>
      <c r="Q153" s="178">
        <v>3.322708</v>
      </c>
      <c r="R153">
        <f t="shared" si="2"/>
        <v>3.3048216250000002</v>
      </c>
    </row>
    <row r="154" spans="1:18" x14ac:dyDescent="0.25">
      <c r="A154" s="5" t="s">
        <v>433</v>
      </c>
      <c r="B154" s="178">
        <v>3.4288020000000001</v>
      </c>
      <c r="C154" s="178">
        <v>3.4440219999999999</v>
      </c>
      <c r="D154" s="178">
        <v>3.4288919999999998</v>
      </c>
      <c r="E154" s="178">
        <v>3.4460700000000002</v>
      </c>
      <c r="F154" s="178">
        <v>3.46713</v>
      </c>
      <c r="G154" s="178">
        <v>3.4553039999999999</v>
      </c>
      <c r="H154" s="178">
        <v>3.4724140000000001</v>
      </c>
      <c r="I154" s="178">
        <v>3.5926999999999998</v>
      </c>
      <c r="J154" s="178">
        <v>3.658388</v>
      </c>
      <c r="K154" s="178">
        <v>3.6804079999999999</v>
      </c>
      <c r="L154" s="178">
        <v>3.5036499999999999</v>
      </c>
      <c r="M154" s="178">
        <v>3.5220579999999999</v>
      </c>
      <c r="N154" s="178">
        <v>3.5670980000000001</v>
      </c>
      <c r="O154" s="178">
        <v>3.5526840000000002</v>
      </c>
      <c r="P154" s="178">
        <v>3.5184119999999997</v>
      </c>
      <c r="Q154" s="178">
        <v>3.5353020000000002</v>
      </c>
      <c r="R154">
        <f t="shared" si="2"/>
        <v>3.5170833749999999</v>
      </c>
    </row>
    <row r="155" spans="1:18" x14ac:dyDescent="0.25">
      <c r="A155" s="5" t="s">
        <v>434</v>
      </c>
      <c r="B155" s="178">
        <v>3.5439259999999999</v>
      </c>
      <c r="C155" s="178">
        <v>3.5569740000000003</v>
      </c>
      <c r="D155" s="178">
        <v>3.5426540000000002</v>
      </c>
      <c r="E155" s="178">
        <v>3.5589400000000002</v>
      </c>
      <c r="F155" s="178">
        <v>3.57891</v>
      </c>
      <c r="G155" s="178">
        <v>3.56691</v>
      </c>
      <c r="H155" s="178">
        <v>3.5840199999999998</v>
      </c>
      <c r="I155" s="178">
        <v>3.7072479999999999</v>
      </c>
      <c r="J155" s="178">
        <v>3.7710919999999999</v>
      </c>
      <c r="K155" s="178">
        <v>3.793218</v>
      </c>
      <c r="L155" s="178">
        <v>3.6156060000000001</v>
      </c>
      <c r="M155" s="178">
        <v>3.6341080000000003</v>
      </c>
      <c r="N155" s="178">
        <v>3.67936</v>
      </c>
      <c r="O155" s="178">
        <v>3.6648780000000003</v>
      </c>
      <c r="P155" s="178">
        <v>3.6303260000000002</v>
      </c>
      <c r="Q155" s="178">
        <v>3.647214</v>
      </c>
      <c r="R155">
        <f t="shared" si="2"/>
        <v>3.6297115000000004</v>
      </c>
    </row>
    <row r="156" spans="1:18" x14ac:dyDescent="0.25">
      <c r="A156" s="5" t="s">
        <v>435</v>
      </c>
      <c r="B156" s="178">
        <v>3.6485439999999998</v>
      </c>
      <c r="C156" s="178">
        <v>3.6623180000000004</v>
      </c>
      <c r="D156" s="178">
        <v>3.6475580000000001</v>
      </c>
      <c r="E156" s="178">
        <v>3.6643600000000003</v>
      </c>
      <c r="F156" s="178">
        <v>3.6849659999999997</v>
      </c>
      <c r="G156" s="178">
        <v>3.6730580000000002</v>
      </c>
      <c r="H156" s="178">
        <v>3.6902840000000001</v>
      </c>
      <c r="I156" s="178">
        <v>3.8148200000000001</v>
      </c>
      <c r="J156" s="178">
        <v>3.8802620000000001</v>
      </c>
      <c r="K156" s="178">
        <v>3.9027479999999999</v>
      </c>
      <c r="L156" s="178">
        <v>3.7222559999999998</v>
      </c>
      <c r="M156" s="178">
        <v>3.7410540000000001</v>
      </c>
      <c r="N156" s="178">
        <v>3.787042</v>
      </c>
      <c r="O156" s="178">
        <v>3.7723279999999999</v>
      </c>
      <c r="P156" s="178">
        <v>3.7375020000000001</v>
      </c>
      <c r="Q156" s="178">
        <v>3.754502</v>
      </c>
      <c r="R156">
        <f t="shared" si="2"/>
        <v>3.7364751250000006</v>
      </c>
    </row>
    <row r="157" spans="1:18" x14ac:dyDescent="0.25">
      <c r="A157" s="5" t="s">
        <v>436</v>
      </c>
      <c r="B157" s="178">
        <v>3.6346100000000003</v>
      </c>
      <c r="C157" s="178">
        <v>3.6575700000000002</v>
      </c>
      <c r="D157" s="178">
        <v>3.639294</v>
      </c>
      <c r="E157" s="178">
        <v>3.659802</v>
      </c>
      <c r="F157" s="178">
        <v>3.6848960000000002</v>
      </c>
      <c r="G157" s="178">
        <v>3.6737579999999999</v>
      </c>
      <c r="H157" s="178">
        <v>3.6902660000000003</v>
      </c>
      <c r="I157" s="178">
        <v>3.8061660000000002</v>
      </c>
      <c r="J157" s="178">
        <v>3.8797359999999999</v>
      </c>
      <c r="K157" s="178">
        <v>3.9021680000000001</v>
      </c>
      <c r="L157" s="178">
        <v>3.7221039999999999</v>
      </c>
      <c r="M157" s="178">
        <v>3.7408580000000002</v>
      </c>
      <c r="N157" s="178">
        <v>3.786734</v>
      </c>
      <c r="O157" s="178">
        <v>3.772052</v>
      </c>
      <c r="P157" s="178">
        <v>3.738054</v>
      </c>
      <c r="Q157" s="178">
        <v>3.7543319999999998</v>
      </c>
      <c r="R157">
        <f t="shared" si="2"/>
        <v>3.7339000000000007</v>
      </c>
    </row>
    <row r="158" spans="1:18" x14ac:dyDescent="0.25">
      <c r="A158" s="5" t="s">
        <v>437</v>
      </c>
      <c r="B158" s="178">
        <v>3.6285400000000001</v>
      </c>
      <c r="C158" s="178">
        <v>3.6631860000000001</v>
      </c>
      <c r="D158" s="178">
        <v>3.6403159999999999</v>
      </c>
      <c r="E158" s="178">
        <v>3.6657820000000001</v>
      </c>
      <c r="F158" s="178">
        <v>3.696914</v>
      </c>
      <c r="G158" s="178">
        <v>3.6867679999999998</v>
      </c>
      <c r="H158" s="178">
        <v>3.7028319999999999</v>
      </c>
      <c r="I158" s="178">
        <v>3.8081460000000003</v>
      </c>
      <c r="J158" s="178">
        <v>3.8928780000000001</v>
      </c>
      <c r="K158" s="178">
        <v>3.9154360000000001</v>
      </c>
      <c r="L158" s="178">
        <v>3.734334</v>
      </c>
      <c r="M158" s="178">
        <v>3.753196</v>
      </c>
      <c r="N158" s="178">
        <v>3.7993399999999999</v>
      </c>
      <c r="O158" s="178">
        <v>3.7845720000000003</v>
      </c>
      <c r="P158" s="178">
        <v>3.7514319999999999</v>
      </c>
      <c r="Q158" s="178">
        <v>3.7672680000000001</v>
      </c>
      <c r="R158">
        <f t="shared" si="2"/>
        <v>3.7431837500000005</v>
      </c>
    </row>
    <row r="159" spans="1:18" x14ac:dyDescent="0.25">
      <c r="A159" s="5" t="s">
        <v>438</v>
      </c>
      <c r="B159" s="178">
        <v>3.5318659999999999</v>
      </c>
      <c r="C159" s="178">
        <v>3.5667939999999998</v>
      </c>
      <c r="D159" s="178">
        <v>3.5440559999999999</v>
      </c>
      <c r="E159" s="178">
        <v>3.569334</v>
      </c>
      <c r="F159" s="178">
        <v>3.6002299999999998</v>
      </c>
      <c r="G159" s="178">
        <v>3.5900620000000001</v>
      </c>
      <c r="H159" s="178">
        <v>3.6059619999999999</v>
      </c>
      <c r="I159" s="178">
        <v>3.7077</v>
      </c>
      <c r="J159" s="178">
        <v>3.7913000000000001</v>
      </c>
      <c r="K159" s="178">
        <v>3.8132979999999996</v>
      </c>
      <c r="L159" s="178">
        <v>3.6367159999999998</v>
      </c>
      <c r="M159" s="178">
        <v>3.6551080000000002</v>
      </c>
      <c r="N159" s="178">
        <v>3.7000980000000001</v>
      </c>
      <c r="O159" s="178">
        <v>3.685702</v>
      </c>
      <c r="P159" s="178">
        <v>3.6531120000000001</v>
      </c>
      <c r="Q159" s="178">
        <v>3.6687919999999998</v>
      </c>
      <c r="R159">
        <f t="shared" si="2"/>
        <v>3.6450081250000004</v>
      </c>
    </row>
    <row r="160" spans="1:18" x14ac:dyDescent="0.25">
      <c r="A160" s="5" t="s">
        <v>439</v>
      </c>
      <c r="B160" s="178">
        <v>3.4521060000000001</v>
      </c>
      <c r="C160" s="178">
        <v>3.4810759999999998</v>
      </c>
      <c r="D160" s="178">
        <v>3.4605619999999999</v>
      </c>
      <c r="E160" s="178">
        <v>3.4834420000000001</v>
      </c>
      <c r="F160" s="178">
        <v>3.511422</v>
      </c>
      <c r="G160" s="178">
        <v>3.5007700000000002</v>
      </c>
      <c r="H160" s="178">
        <v>3.516902</v>
      </c>
      <c r="I160" s="178">
        <v>3.6258220000000003</v>
      </c>
      <c r="J160" s="178">
        <v>3.70438</v>
      </c>
      <c r="K160" s="178">
        <v>3.726594</v>
      </c>
      <c r="L160" s="178">
        <v>3.5482659999999999</v>
      </c>
      <c r="M160" s="178">
        <v>3.5668420000000003</v>
      </c>
      <c r="N160" s="178">
        <v>3.6122739999999998</v>
      </c>
      <c r="O160" s="178">
        <v>3.5977359999999998</v>
      </c>
      <c r="P160" s="178">
        <v>3.5644439999999999</v>
      </c>
      <c r="Q160" s="178">
        <v>3.580352</v>
      </c>
      <c r="R160">
        <f t="shared" si="2"/>
        <v>3.5583118749999998</v>
      </c>
    </row>
    <row r="161" spans="1:18" x14ac:dyDescent="0.25">
      <c r="A161" s="5" t="s">
        <v>440</v>
      </c>
      <c r="B161" s="178">
        <v>3.428417</v>
      </c>
      <c r="C161" s="178">
        <v>3.4520030000000004</v>
      </c>
      <c r="D161" s="178">
        <v>3.4334630000000002</v>
      </c>
      <c r="E161" s="178">
        <v>3.4542330000000003</v>
      </c>
      <c r="F161" s="178">
        <v>3.479657</v>
      </c>
      <c r="G161" s="178">
        <v>3.4685799999999998</v>
      </c>
      <c r="H161" s="178">
        <v>3.4849899999999998</v>
      </c>
      <c r="I161" s="178">
        <v>3.6007629999999997</v>
      </c>
      <c r="J161" s="178">
        <v>3.6749969999999998</v>
      </c>
      <c r="K161" s="178">
        <v>3.6974870000000002</v>
      </c>
      <c r="L161" s="178">
        <v>3.5169569999999997</v>
      </c>
      <c r="M161" s="178">
        <v>3.5357570000000003</v>
      </c>
      <c r="N161" s="178">
        <v>3.581753</v>
      </c>
      <c r="O161" s="178">
        <v>3.56704</v>
      </c>
      <c r="P161" s="178">
        <v>3.5330369999999998</v>
      </c>
      <c r="Q161" s="178">
        <v>3.549223</v>
      </c>
      <c r="R161">
        <f t="shared" si="2"/>
        <v>3.5286473125</v>
      </c>
    </row>
    <row r="162" spans="1:18" x14ac:dyDescent="0.25">
      <c r="A162" s="5" t="s">
        <v>441</v>
      </c>
      <c r="B162" s="178">
        <v>3.1727060000000002</v>
      </c>
      <c r="C162" s="178">
        <v>3.1947779999999999</v>
      </c>
      <c r="D162" s="178">
        <v>3.1767300000000001</v>
      </c>
      <c r="E162" s="178">
        <v>3.1970079999999998</v>
      </c>
      <c r="F162" s="178">
        <v>3.221832</v>
      </c>
      <c r="G162" s="178">
        <v>3.2106439999999998</v>
      </c>
      <c r="H162" s="178">
        <v>3.227258</v>
      </c>
      <c r="I162" s="178">
        <v>3.3455819999999998</v>
      </c>
      <c r="J162" s="178">
        <v>3.418984</v>
      </c>
      <c r="K162" s="178">
        <v>3.4416819999999997</v>
      </c>
      <c r="L162" s="178">
        <v>3.2594780000000001</v>
      </c>
      <c r="M162" s="178">
        <v>3.2784560000000003</v>
      </c>
      <c r="N162" s="178">
        <v>3.324878</v>
      </c>
      <c r="O162" s="178">
        <v>3.3100239999999999</v>
      </c>
      <c r="P162" s="178">
        <v>3.2756959999999999</v>
      </c>
      <c r="Q162" s="178">
        <v>3.292084</v>
      </c>
      <c r="R162">
        <f t="shared" si="2"/>
        <v>3.2717387499999999</v>
      </c>
    </row>
    <row r="163" spans="1:18" x14ac:dyDescent="0.25">
      <c r="A163" s="5" t="s">
        <v>442</v>
      </c>
      <c r="B163" s="178">
        <v>3.2865900000000003</v>
      </c>
      <c r="C163" s="178">
        <v>3.319032</v>
      </c>
      <c r="D163" s="178">
        <v>3.29705</v>
      </c>
      <c r="E163" s="178">
        <v>3.321504</v>
      </c>
      <c r="F163" s="178">
        <v>3.3513999999999999</v>
      </c>
      <c r="G163" s="178">
        <v>3.3410680000000004</v>
      </c>
      <c r="H163" s="178">
        <v>3.3570059999999997</v>
      </c>
      <c r="I163" s="178">
        <v>3.46462</v>
      </c>
      <c r="J163" s="178">
        <v>3.547056</v>
      </c>
      <c r="K163" s="178">
        <v>3.569582</v>
      </c>
      <c r="L163" s="178">
        <v>3.3887620000000003</v>
      </c>
      <c r="M163" s="178">
        <v>3.407594</v>
      </c>
      <c r="N163" s="178">
        <v>3.453668</v>
      </c>
      <c r="O163" s="178">
        <v>3.4389240000000001</v>
      </c>
      <c r="P163" s="178">
        <v>3.4056320000000002</v>
      </c>
      <c r="Q163" s="178">
        <v>3.421338</v>
      </c>
      <c r="R163">
        <f t="shared" si="2"/>
        <v>3.3981766249999996</v>
      </c>
    </row>
    <row r="164" spans="1:18" x14ac:dyDescent="0.25">
      <c r="A164" s="5" t="s">
        <v>443</v>
      </c>
      <c r="B164" s="178">
        <v>3.3889420000000001</v>
      </c>
      <c r="C164" s="178">
        <v>3.426526</v>
      </c>
      <c r="D164" s="178">
        <v>3.4024099999999997</v>
      </c>
      <c r="E164" s="178">
        <v>3.4291660000000004</v>
      </c>
      <c r="F164" s="178">
        <v>3.4618580000000003</v>
      </c>
      <c r="G164" s="178">
        <v>3.4519899999999999</v>
      </c>
      <c r="H164" s="178">
        <v>3.4677099999999998</v>
      </c>
      <c r="I164" s="178">
        <v>3.5724399999999998</v>
      </c>
      <c r="J164" s="178">
        <v>3.66039</v>
      </c>
      <c r="K164" s="178">
        <v>3.6832440000000002</v>
      </c>
      <c r="L164" s="178">
        <v>3.4997699999999998</v>
      </c>
      <c r="M164" s="178">
        <v>3.518878</v>
      </c>
      <c r="N164" s="178">
        <v>3.5656239999999997</v>
      </c>
      <c r="O164" s="178">
        <v>3.5506660000000001</v>
      </c>
      <c r="P164" s="178">
        <v>3.5175000000000001</v>
      </c>
      <c r="Q164" s="178">
        <v>3.5329920000000001</v>
      </c>
      <c r="R164">
        <f t="shared" si="2"/>
        <v>3.5081316249999999</v>
      </c>
    </row>
    <row r="165" spans="1:18" x14ac:dyDescent="0.25">
      <c r="A165" s="5" t="s">
        <v>444</v>
      </c>
      <c r="B165" s="178">
        <v>3.3744679999999998</v>
      </c>
      <c r="C165" s="178">
        <v>3.407073</v>
      </c>
      <c r="D165" s="178">
        <v>3.384903</v>
      </c>
      <c r="E165" s="178">
        <v>3.4094679999999999</v>
      </c>
      <c r="F165" s="178">
        <v>3.4394850000000003</v>
      </c>
      <c r="G165" s="178">
        <v>3.4291999999999998</v>
      </c>
      <c r="H165" s="178">
        <v>3.4447299999999998</v>
      </c>
      <c r="I165" s="178">
        <v>3.5553129999999999</v>
      </c>
      <c r="J165" s="178">
        <v>3.6384530000000002</v>
      </c>
      <c r="K165" s="178">
        <v>3.661365</v>
      </c>
      <c r="L165" s="178">
        <v>3.4774750000000001</v>
      </c>
      <c r="M165" s="178">
        <v>3.4966280000000003</v>
      </c>
      <c r="N165" s="178">
        <v>3.5434779999999999</v>
      </c>
      <c r="O165" s="178">
        <v>3.5284879999999998</v>
      </c>
      <c r="P165" s="178">
        <v>3.4948629999999996</v>
      </c>
      <c r="Q165" s="178">
        <v>3.5101550000000001</v>
      </c>
      <c r="R165">
        <f t="shared" si="2"/>
        <v>3.4872215624999998</v>
      </c>
    </row>
    <row r="166" spans="1:18" x14ac:dyDescent="0.25">
      <c r="A166" s="5" t="s">
        <v>445</v>
      </c>
      <c r="B166" s="178">
        <v>3.4920450000000001</v>
      </c>
      <c r="C166" s="178">
        <v>3.5224380000000002</v>
      </c>
      <c r="D166" s="178">
        <v>3.501223</v>
      </c>
      <c r="E166" s="178">
        <v>3.5247899999999999</v>
      </c>
      <c r="F166" s="178">
        <v>3.553585</v>
      </c>
      <c r="G166" s="178">
        <v>3.5430949999999997</v>
      </c>
      <c r="H166" s="178">
        <v>3.5588580000000003</v>
      </c>
      <c r="I166" s="178">
        <v>3.6696249999999999</v>
      </c>
      <c r="J166" s="178">
        <v>3.7502179999999998</v>
      </c>
      <c r="K166" s="178">
        <v>3.772853</v>
      </c>
      <c r="L166" s="178">
        <v>3.5911329999999997</v>
      </c>
      <c r="M166" s="178">
        <v>3.6100599999999998</v>
      </c>
      <c r="N166" s="178">
        <v>3.6563600000000003</v>
      </c>
      <c r="O166" s="178">
        <v>3.6415450000000003</v>
      </c>
      <c r="P166" s="178">
        <v>3.60798</v>
      </c>
      <c r="Q166" s="178">
        <v>3.62351</v>
      </c>
      <c r="R166">
        <f t="shared" si="2"/>
        <v>3.6012073749999995</v>
      </c>
    </row>
    <row r="167" spans="1:18" x14ac:dyDescent="0.25">
      <c r="A167" s="5" t="s">
        <v>446</v>
      </c>
      <c r="B167" s="178">
        <v>3.6125880000000001</v>
      </c>
      <c r="C167" s="178">
        <v>3.6383679999999998</v>
      </c>
      <c r="D167" s="178">
        <v>3.6190819999999997</v>
      </c>
      <c r="E167" s="178">
        <v>3.6406559999999999</v>
      </c>
      <c r="F167" s="178">
        <v>3.6676660000000001</v>
      </c>
      <c r="G167" s="178">
        <v>3.656488</v>
      </c>
      <c r="H167" s="178">
        <v>3.6733820000000001</v>
      </c>
      <c r="I167" s="178">
        <v>3.7885740000000001</v>
      </c>
      <c r="J167" s="178">
        <v>3.8655659999999998</v>
      </c>
      <c r="K167" s="178">
        <v>3.88835</v>
      </c>
      <c r="L167" s="178">
        <v>3.705454</v>
      </c>
      <c r="M167" s="178">
        <v>3.7245019999999998</v>
      </c>
      <c r="N167" s="178">
        <v>3.7711039999999998</v>
      </c>
      <c r="O167" s="178">
        <v>3.756192</v>
      </c>
      <c r="P167" s="178">
        <v>3.7217919999999998</v>
      </c>
      <c r="Q167" s="178">
        <v>3.7384560000000002</v>
      </c>
      <c r="R167">
        <f t="shared" si="2"/>
        <v>3.7167637500000006</v>
      </c>
    </row>
    <row r="168" spans="1:18" x14ac:dyDescent="0.25">
      <c r="A168" s="5" t="s">
        <v>447</v>
      </c>
      <c r="B168" s="178">
        <v>3.7606039999999998</v>
      </c>
      <c r="C168" s="178">
        <v>3.7874499999999998</v>
      </c>
      <c r="D168" s="178">
        <v>3.7679480000000001</v>
      </c>
      <c r="E168" s="178">
        <v>3.7896959999999997</v>
      </c>
      <c r="F168" s="178">
        <v>3.8169119999999999</v>
      </c>
      <c r="G168" s="178">
        <v>3.8057840000000001</v>
      </c>
      <c r="H168" s="178">
        <v>3.8224140000000002</v>
      </c>
      <c r="I168" s="178">
        <v>3.9342420000000002</v>
      </c>
      <c r="J168" s="178">
        <v>4.011082</v>
      </c>
      <c r="K168" s="178">
        <v>4.0334340000000006</v>
      </c>
      <c r="L168" s="178">
        <v>3.8539920000000003</v>
      </c>
      <c r="M168" s="178">
        <v>3.8726780000000001</v>
      </c>
      <c r="N168" s="178">
        <v>3.9184000000000001</v>
      </c>
      <c r="O168" s="178">
        <v>3.903772</v>
      </c>
      <c r="P168" s="178">
        <v>3.8698600000000001</v>
      </c>
      <c r="Q168" s="178">
        <v>3.8862559999999999</v>
      </c>
      <c r="R168">
        <f t="shared" si="2"/>
        <v>3.8646577500000001</v>
      </c>
    </row>
    <row r="169" spans="1:18" x14ac:dyDescent="0.25">
      <c r="A169" s="5" t="s">
        <v>448</v>
      </c>
      <c r="B169" s="178">
        <v>3.8558300000000001</v>
      </c>
      <c r="C169" s="178">
        <v>3.8799380000000001</v>
      </c>
      <c r="D169" s="178">
        <v>3.8616329999999999</v>
      </c>
      <c r="E169" s="178">
        <v>3.8820949999999996</v>
      </c>
      <c r="F169" s="178">
        <v>3.9077100000000002</v>
      </c>
      <c r="G169" s="178">
        <v>3.8963400000000004</v>
      </c>
      <c r="H169" s="178">
        <v>3.9130729999999998</v>
      </c>
      <c r="I169" s="178">
        <v>4.0251700000000001</v>
      </c>
      <c r="J169" s="178">
        <v>4.0986599999999997</v>
      </c>
      <c r="K169" s="178">
        <v>4.1206450000000006</v>
      </c>
      <c r="L169" s="178">
        <v>3.9441700000000002</v>
      </c>
      <c r="M169" s="178">
        <v>3.9625529999999998</v>
      </c>
      <c r="N169" s="178">
        <v>4.0075130000000003</v>
      </c>
      <c r="O169" s="178">
        <v>3.993128</v>
      </c>
      <c r="P169" s="178">
        <v>3.9593499999999997</v>
      </c>
      <c r="Q169" s="178">
        <v>3.9758629999999999</v>
      </c>
      <c r="R169">
        <f t="shared" si="2"/>
        <v>3.9552294375000003</v>
      </c>
    </row>
    <row r="170" spans="1:18" x14ac:dyDescent="0.25">
      <c r="A170" s="5" t="s">
        <v>449</v>
      </c>
      <c r="B170" s="178">
        <v>3.7883599999999999</v>
      </c>
      <c r="C170" s="178">
        <v>3.8096480000000001</v>
      </c>
      <c r="D170" s="178">
        <v>3.7924859999999998</v>
      </c>
      <c r="E170" s="178">
        <v>3.8117160000000001</v>
      </c>
      <c r="F170" s="178">
        <v>3.835788</v>
      </c>
      <c r="G170" s="178">
        <v>3.8241879999999999</v>
      </c>
      <c r="H170" s="178">
        <v>3.841002</v>
      </c>
      <c r="I170" s="178">
        <v>3.9548560000000004</v>
      </c>
      <c r="J170" s="178">
        <v>4.025372</v>
      </c>
      <c r="K170" s="178">
        <v>4.0471979999999999</v>
      </c>
      <c r="L170" s="178">
        <v>3.871988</v>
      </c>
      <c r="M170" s="178">
        <v>3.8902379999999996</v>
      </c>
      <c r="N170" s="178">
        <v>3.9348800000000002</v>
      </c>
      <c r="O170" s="178">
        <v>3.9205939999999999</v>
      </c>
      <c r="P170" s="178">
        <v>3.886746</v>
      </c>
      <c r="Q170" s="178">
        <v>3.9033339999999996</v>
      </c>
      <c r="R170">
        <f t="shared" si="2"/>
        <v>3.8836496250000003</v>
      </c>
    </row>
    <row r="171" spans="1:18" x14ac:dyDescent="0.25">
      <c r="A171" s="5" t="s">
        <v>450</v>
      </c>
      <c r="B171" s="178">
        <v>3.8490500000000001</v>
      </c>
      <c r="C171" s="178">
        <v>3.87012</v>
      </c>
      <c r="D171" s="178">
        <v>3.8532579999999998</v>
      </c>
      <c r="E171" s="178">
        <v>3.8721939999999999</v>
      </c>
      <c r="F171" s="178">
        <v>3.8959060000000001</v>
      </c>
      <c r="G171" s="178">
        <v>3.884242</v>
      </c>
      <c r="H171" s="178">
        <v>3.9011880000000003</v>
      </c>
      <c r="I171" s="178">
        <v>4.0115119999999997</v>
      </c>
      <c r="J171" s="178">
        <v>4.0806819999999995</v>
      </c>
      <c r="K171" s="178">
        <v>4.1019540000000001</v>
      </c>
      <c r="L171" s="178">
        <v>3.9311880000000001</v>
      </c>
      <c r="M171" s="178">
        <v>3.9489740000000002</v>
      </c>
      <c r="N171" s="178">
        <v>3.9924840000000001</v>
      </c>
      <c r="O171" s="178">
        <v>3.9785619999999997</v>
      </c>
      <c r="P171" s="178">
        <v>3.9452159999999998</v>
      </c>
      <c r="Q171" s="178">
        <v>3.9619459999999997</v>
      </c>
      <c r="R171">
        <f t="shared" si="2"/>
        <v>3.9424047499999997</v>
      </c>
    </row>
    <row r="172" spans="1:18" x14ac:dyDescent="0.25">
      <c r="A172" s="5" t="s">
        <v>451</v>
      </c>
      <c r="B172" s="178">
        <v>3.9724840000000001</v>
      </c>
      <c r="C172" s="178">
        <v>3.99891</v>
      </c>
      <c r="D172" s="178">
        <v>3.9801139999999999</v>
      </c>
      <c r="E172" s="178">
        <v>4.001036</v>
      </c>
      <c r="F172" s="178">
        <v>4.0272119999999996</v>
      </c>
      <c r="G172" s="178">
        <v>4.0159500000000001</v>
      </c>
      <c r="H172" s="178">
        <v>4.0323539999999998</v>
      </c>
      <c r="I172" s="178">
        <v>4.1366620000000003</v>
      </c>
      <c r="J172" s="178">
        <v>4.2099979999999997</v>
      </c>
      <c r="K172" s="178">
        <v>4.2310420000000004</v>
      </c>
      <c r="L172" s="178">
        <v>4.0621179999999999</v>
      </c>
      <c r="M172" s="178">
        <v>4.0797119999999998</v>
      </c>
      <c r="N172" s="178">
        <v>4.1227520000000002</v>
      </c>
      <c r="O172" s="178">
        <v>4.1089759999999993</v>
      </c>
      <c r="P172" s="178">
        <v>4.0762640000000001</v>
      </c>
      <c r="Q172" s="178">
        <v>4.0924520000000006</v>
      </c>
      <c r="R172">
        <f t="shared" si="2"/>
        <v>4.0717522499999994</v>
      </c>
    </row>
    <row r="173" spans="1:18" x14ac:dyDescent="0.25">
      <c r="A173" s="5" t="s">
        <v>452</v>
      </c>
      <c r="B173" s="178">
        <v>3.9050419999999999</v>
      </c>
      <c r="C173" s="178">
        <v>3.938558</v>
      </c>
      <c r="D173" s="178">
        <v>3.9171640000000001</v>
      </c>
      <c r="E173" s="178">
        <v>3.9408539999999999</v>
      </c>
      <c r="F173" s="178">
        <v>3.9704839999999999</v>
      </c>
      <c r="G173" s="178">
        <v>3.9597519999999999</v>
      </c>
      <c r="H173" s="178">
        <v>3.9758560000000003</v>
      </c>
      <c r="I173" s="178">
        <v>4.0715560000000002</v>
      </c>
      <c r="J173" s="178">
        <v>4.1507560000000003</v>
      </c>
      <c r="K173" s="178">
        <v>4.1715119999999999</v>
      </c>
      <c r="L173" s="178">
        <v>4.0049079999999995</v>
      </c>
      <c r="M173" s="178">
        <v>4.0222579999999999</v>
      </c>
      <c r="N173" s="178">
        <v>4.0647080000000004</v>
      </c>
      <c r="O173" s="178">
        <v>4.051126</v>
      </c>
      <c r="P173" s="178">
        <v>4.019234</v>
      </c>
      <c r="Q173" s="178">
        <v>4.0351319999999999</v>
      </c>
      <c r="R173">
        <f t="shared" si="2"/>
        <v>4.0124312500000006</v>
      </c>
    </row>
    <row r="174" spans="1:18" x14ac:dyDescent="0.25">
      <c r="A174" s="5" t="s">
        <v>453</v>
      </c>
      <c r="B174" s="178">
        <v>3.798273</v>
      </c>
      <c r="C174" s="178">
        <v>3.8396249999999998</v>
      </c>
      <c r="D174" s="178">
        <v>3.8153479999999997</v>
      </c>
      <c r="E174" s="178">
        <v>3.8421880000000002</v>
      </c>
      <c r="F174" s="178">
        <v>3.8757480000000002</v>
      </c>
      <c r="G174" s="178">
        <v>3.8655930000000001</v>
      </c>
      <c r="H174" s="178">
        <v>3.88165</v>
      </c>
      <c r="I174" s="178">
        <v>3.9672130000000001</v>
      </c>
      <c r="J174" s="178">
        <v>4.053058</v>
      </c>
      <c r="K174" s="178">
        <v>4.0734779999999997</v>
      </c>
      <c r="L174" s="178">
        <v>3.909605</v>
      </c>
      <c r="M174" s="178">
        <v>3.9266750000000004</v>
      </c>
      <c r="N174" s="178">
        <v>3.9684279999999998</v>
      </c>
      <c r="O174" s="178">
        <v>3.9550650000000003</v>
      </c>
      <c r="P174" s="178">
        <v>3.9241030000000001</v>
      </c>
      <c r="Q174" s="178">
        <v>3.9399549999999999</v>
      </c>
      <c r="R174">
        <f t="shared" si="2"/>
        <v>3.9147503125000007</v>
      </c>
    </row>
    <row r="175" spans="1:18" x14ac:dyDescent="0.25">
      <c r="A175" s="5" t="s">
        <v>454</v>
      </c>
      <c r="B175" s="178">
        <v>4.3428979999999999</v>
      </c>
      <c r="C175" s="178">
        <v>4.3914140000000002</v>
      </c>
      <c r="D175" s="178">
        <v>4.3643879999999999</v>
      </c>
      <c r="E175" s="178">
        <v>4.394088</v>
      </c>
      <c r="F175" s="178">
        <v>4.4311959999999999</v>
      </c>
      <c r="G175" s="178">
        <v>4.4216119999999997</v>
      </c>
      <c r="H175" s="178">
        <v>4.4370180000000001</v>
      </c>
      <c r="I175" s="178">
        <v>4.5169639999999998</v>
      </c>
      <c r="J175" s="178">
        <v>4.6093459999999995</v>
      </c>
      <c r="K175" s="178">
        <v>4.6298560000000002</v>
      </c>
      <c r="L175" s="178">
        <v>4.4652139999999996</v>
      </c>
      <c r="M175" s="178">
        <v>4.4823639999999996</v>
      </c>
      <c r="N175" s="178">
        <v>4.5243100000000007</v>
      </c>
      <c r="O175" s="178">
        <v>4.5108879999999996</v>
      </c>
      <c r="P175" s="178">
        <v>4.4803980000000001</v>
      </c>
      <c r="Q175" s="178">
        <v>4.4955959999999999</v>
      </c>
      <c r="R175">
        <f t="shared" si="2"/>
        <v>4.4685968750000002</v>
      </c>
    </row>
    <row r="176" spans="1:18" x14ac:dyDescent="0.25">
      <c r="A176" s="5" t="s">
        <v>455</v>
      </c>
      <c r="B176" s="178">
        <v>4.9432179999999999</v>
      </c>
      <c r="C176" s="178">
        <v>4.9959660000000001</v>
      </c>
      <c r="D176" s="178">
        <v>4.9673999999999996</v>
      </c>
      <c r="E176" s="178">
        <v>4.9987899999999996</v>
      </c>
      <c r="F176" s="178">
        <v>5.0380159999999998</v>
      </c>
      <c r="G176" s="178">
        <v>5.0287360000000003</v>
      </c>
      <c r="H176" s="178">
        <v>5.0441899999999995</v>
      </c>
      <c r="I176" s="178">
        <v>5.1180919999999999</v>
      </c>
      <c r="J176" s="178">
        <v>5.2139620000000004</v>
      </c>
      <c r="K176" s="178">
        <v>5.2342200000000005</v>
      </c>
      <c r="L176" s="178">
        <v>5.071612</v>
      </c>
      <c r="M176" s="178">
        <v>5.0885479999999994</v>
      </c>
      <c r="N176" s="178">
        <v>5.1299799999999998</v>
      </c>
      <c r="O176" s="178">
        <v>5.1167219999999993</v>
      </c>
      <c r="P176" s="178">
        <v>5.0867940000000003</v>
      </c>
      <c r="Q176" s="178">
        <v>5.1020440000000002</v>
      </c>
      <c r="R176">
        <f t="shared" si="2"/>
        <v>5.0736431250000003</v>
      </c>
    </row>
    <row r="177" spans="1:18" x14ac:dyDescent="0.25">
      <c r="A177" s="5" t="s">
        <v>456</v>
      </c>
      <c r="B177" s="178">
        <v>4.4145479999999999</v>
      </c>
      <c r="C177" s="178">
        <v>4.4676360000000006</v>
      </c>
      <c r="D177" s="178">
        <v>4.4388699999999996</v>
      </c>
      <c r="E177" s="178">
        <v>4.47044</v>
      </c>
      <c r="F177" s="178">
        <v>4.5098900000000004</v>
      </c>
      <c r="G177" s="178">
        <v>4.5006560000000002</v>
      </c>
      <c r="H177" s="178">
        <v>4.5159340000000006</v>
      </c>
      <c r="I177" s="178">
        <v>4.5911580000000001</v>
      </c>
      <c r="J177" s="178">
        <v>4.6877060000000004</v>
      </c>
      <c r="K177" s="178">
        <v>4.7081739999999996</v>
      </c>
      <c r="L177" s="178">
        <v>4.5438459999999994</v>
      </c>
      <c r="M177" s="178">
        <v>4.5609620000000008</v>
      </c>
      <c r="N177" s="178">
        <v>4.6028280000000006</v>
      </c>
      <c r="O177" s="178">
        <v>4.5894319999999995</v>
      </c>
      <c r="P177" s="178">
        <v>4.5593300000000001</v>
      </c>
      <c r="Q177" s="178">
        <v>4.5744020000000001</v>
      </c>
      <c r="R177">
        <f t="shared" si="2"/>
        <v>4.5459882500000006</v>
      </c>
    </row>
    <row r="178" spans="1:18" x14ac:dyDescent="0.25">
      <c r="A178" s="5" t="s">
        <v>457</v>
      </c>
      <c r="B178" s="178">
        <v>4.9284840000000001</v>
      </c>
      <c r="C178" s="178">
        <v>4.9686059999999994</v>
      </c>
      <c r="D178" s="178">
        <v>4.945214</v>
      </c>
      <c r="E178" s="178">
        <v>4.970936</v>
      </c>
      <c r="F178" s="178">
        <v>5.0030799999999997</v>
      </c>
      <c r="G178" s="178">
        <v>4.9927659999999996</v>
      </c>
      <c r="H178" s="178">
        <v>5.0081940000000005</v>
      </c>
      <c r="I178" s="178">
        <v>5.0904920000000002</v>
      </c>
      <c r="J178" s="178">
        <v>5.1727120000000006</v>
      </c>
      <c r="K178" s="178">
        <v>5.1922380000000006</v>
      </c>
      <c r="L178" s="178">
        <v>5.0354719999999995</v>
      </c>
      <c r="M178" s="178">
        <v>5.0518000000000001</v>
      </c>
      <c r="N178" s="178">
        <v>5.0917439999999994</v>
      </c>
      <c r="O178" s="178">
        <v>5.0789620000000006</v>
      </c>
      <c r="P178" s="178">
        <v>5.0487380000000002</v>
      </c>
      <c r="Q178" s="178">
        <v>5.063968</v>
      </c>
      <c r="R178">
        <f t="shared" si="2"/>
        <v>5.0402128750000008</v>
      </c>
    </row>
    <row r="179" spans="1:18" x14ac:dyDescent="0.25">
      <c r="A179" s="5" t="s">
        <v>458</v>
      </c>
      <c r="B179" s="178">
        <v>4.9579779999999998</v>
      </c>
      <c r="C179" s="178">
        <v>5.0128519999999996</v>
      </c>
      <c r="D179" s="178">
        <v>4.9839840000000004</v>
      </c>
      <c r="E179" s="178">
        <v>5.0155940000000001</v>
      </c>
      <c r="F179" s="178">
        <v>5.0550780000000008</v>
      </c>
      <c r="G179" s="178">
        <v>5.0458739999999995</v>
      </c>
      <c r="H179" s="178">
        <v>5.0608339999999998</v>
      </c>
      <c r="I179" s="178">
        <v>5.1258999999999997</v>
      </c>
      <c r="J179" s="178">
        <v>5.2207840000000001</v>
      </c>
      <c r="K179" s="178">
        <v>5.2398599999999993</v>
      </c>
      <c r="L179" s="178">
        <v>5.0867200000000006</v>
      </c>
      <c r="M179" s="178">
        <v>5.1026699999999998</v>
      </c>
      <c r="N179" s="178">
        <v>5.141686</v>
      </c>
      <c r="O179" s="178">
        <v>5.1292039999999997</v>
      </c>
      <c r="P179" s="178">
        <v>5.1005519999999995</v>
      </c>
      <c r="Q179" s="178">
        <v>5.1153180000000003</v>
      </c>
      <c r="R179">
        <f t="shared" si="2"/>
        <v>5.0871804999999997</v>
      </c>
    </row>
    <row r="180" spans="1:18" x14ac:dyDescent="0.25">
      <c r="A180" s="179" t="s">
        <v>459</v>
      </c>
      <c r="B180" s="178">
        <v>4.9651839999999998</v>
      </c>
      <c r="C180" s="178">
        <v>5.0776980000000007</v>
      </c>
      <c r="D180" s="178">
        <v>5.0265040000000001</v>
      </c>
      <c r="E180" s="178">
        <v>5.0831220000000004</v>
      </c>
      <c r="F180" s="178">
        <v>5.1539139999999994</v>
      </c>
      <c r="G180" s="178">
        <v>5.1491319999999998</v>
      </c>
      <c r="H180" s="178">
        <v>5.1664300000000001</v>
      </c>
      <c r="I180" s="178">
        <v>5.1666719999999993</v>
      </c>
      <c r="J180" s="178">
        <v>5.3175759999999999</v>
      </c>
      <c r="K180" s="178">
        <v>5.3364180000000001</v>
      </c>
      <c r="L180" s="178">
        <v>5.1851660000000006</v>
      </c>
      <c r="M180" s="178">
        <v>5.2009179999999997</v>
      </c>
      <c r="N180" s="178">
        <v>5.2394560000000006</v>
      </c>
      <c r="O180" s="178">
        <v>5.2271239999999999</v>
      </c>
      <c r="P180" s="178">
        <v>5.203138</v>
      </c>
      <c r="Q180" s="178">
        <v>5.2202440000000001</v>
      </c>
      <c r="R180">
        <f t="shared" si="2"/>
        <v>5.1699184999999996</v>
      </c>
    </row>
    <row r="181" spans="1:18" x14ac:dyDescent="0.25">
      <c r="A181" s="179" t="s">
        <v>460</v>
      </c>
      <c r="B181" s="178">
        <v>4.8595649999999999</v>
      </c>
      <c r="C181" s="178">
        <v>4.9771049999999999</v>
      </c>
      <c r="D181" s="178">
        <v>4.9238749999999998</v>
      </c>
      <c r="E181" s="178">
        <v>4.9830379999999996</v>
      </c>
      <c r="F181" s="178">
        <v>5.057048</v>
      </c>
      <c r="G181" s="178">
        <v>5.052638</v>
      </c>
      <c r="H181" s="178">
        <v>5.0712600000000005</v>
      </c>
      <c r="I181" s="178">
        <v>5.0639250000000002</v>
      </c>
      <c r="J181" s="178">
        <v>5.2205649999999997</v>
      </c>
      <c r="K181" s="178">
        <v>5.2393929999999997</v>
      </c>
      <c r="L181" s="178">
        <v>5.0882749999999994</v>
      </c>
      <c r="M181" s="178">
        <v>5.1040130000000001</v>
      </c>
      <c r="N181" s="178">
        <v>5.1425150000000004</v>
      </c>
      <c r="O181" s="178">
        <v>5.1301949999999996</v>
      </c>
      <c r="P181" s="178">
        <v>5.1066000000000003</v>
      </c>
      <c r="Q181" s="178">
        <v>5.1250280000000004</v>
      </c>
      <c r="R181">
        <f t="shared" si="2"/>
        <v>5.071564875</v>
      </c>
    </row>
    <row r="182" spans="1:18" x14ac:dyDescent="0.25">
      <c r="A182" s="179" t="s">
        <v>461</v>
      </c>
      <c r="B182" s="178">
        <v>5.2443599999999995</v>
      </c>
      <c r="C182" s="178">
        <v>5.3049880000000007</v>
      </c>
      <c r="D182" s="178">
        <v>5.2741259999999999</v>
      </c>
      <c r="E182" s="178">
        <v>5.3075799999999997</v>
      </c>
      <c r="F182" s="178">
        <v>5.3493219999999999</v>
      </c>
      <c r="G182" s="178">
        <v>5.3405519999999997</v>
      </c>
      <c r="H182" s="178">
        <v>5.3540959999999993</v>
      </c>
      <c r="I182" s="178">
        <v>5.4138739999999999</v>
      </c>
      <c r="J182" s="178">
        <v>5.5124899999999997</v>
      </c>
      <c r="K182" s="178">
        <v>5.5312760000000001</v>
      </c>
      <c r="L182" s="178">
        <v>5.3804819999999998</v>
      </c>
      <c r="M182" s="178">
        <v>5.3961859999999993</v>
      </c>
      <c r="N182" s="178">
        <v>5.4346079999999999</v>
      </c>
      <c r="O182" s="178">
        <v>5.4223140000000001</v>
      </c>
      <c r="P182" s="178">
        <v>5.3943959999999995</v>
      </c>
      <c r="Q182" s="178">
        <v>5.4077460000000004</v>
      </c>
      <c r="R182">
        <f t="shared" si="2"/>
        <v>5.3792747499999995</v>
      </c>
    </row>
    <row r="183" spans="1:18" x14ac:dyDescent="0.25">
      <c r="A183" s="179" t="s">
        <v>462</v>
      </c>
      <c r="B183" s="178">
        <v>5.5829019999999998</v>
      </c>
      <c r="C183" s="178">
        <v>5.6278779999999999</v>
      </c>
      <c r="D183" s="178">
        <v>5.6025140000000002</v>
      </c>
      <c r="E183" s="178">
        <v>5.630344</v>
      </c>
      <c r="F183" s="178">
        <v>5.665114</v>
      </c>
      <c r="G183" s="178">
        <v>5.6552020000000001</v>
      </c>
      <c r="H183" s="178">
        <v>5.6704080000000001</v>
      </c>
      <c r="I183" s="178">
        <v>5.749892</v>
      </c>
      <c r="J183" s="178">
        <v>5.8371979999999999</v>
      </c>
      <c r="K183" s="178">
        <v>5.8570099999999998</v>
      </c>
      <c r="L183" s="178">
        <v>5.6979759999999997</v>
      </c>
      <c r="M183" s="178">
        <v>5.7145379999999992</v>
      </c>
      <c r="N183" s="178">
        <v>5.755058</v>
      </c>
      <c r="O183" s="178">
        <v>5.7420919999999995</v>
      </c>
      <c r="P183" s="178">
        <v>5.7119859999999996</v>
      </c>
      <c r="Q183" s="178">
        <v>5.7269959999999998</v>
      </c>
      <c r="R183">
        <f t="shared" si="2"/>
        <v>5.7016942500000001</v>
      </c>
    </row>
    <row r="184" spans="1:18" x14ac:dyDescent="0.25">
      <c r="A184" s="179" t="s">
        <v>463</v>
      </c>
      <c r="B184" s="178">
        <v>6.1404700000000005</v>
      </c>
      <c r="C184" s="178">
        <v>6.2081160000000004</v>
      </c>
      <c r="D184" s="178">
        <v>6.1693040000000003</v>
      </c>
      <c r="E184" s="178">
        <v>6.2114960000000004</v>
      </c>
      <c r="F184" s="178">
        <v>6.1975540000000002</v>
      </c>
      <c r="G184" s="178">
        <v>6.1888180000000004</v>
      </c>
      <c r="H184" s="178">
        <v>6.2054499999999999</v>
      </c>
      <c r="I184" s="178">
        <v>6.3195640000000006</v>
      </c>
      <c r="J184" s="178">
        <v>6.3729959999999997</v>
      </c>
      <c r="K184" s="178">
        <v>6.3931959999999997</v>
      </c>
      <c r="L184" s="178">
        <v>6.2310540000000003</v>
      </c>
      <c r="M184" s="178">
        <v>6.2479440000000004</v>
      </c>
      <c r="N184" s="178">
        <v>6.289256</v>
      </c>
      <c r="O184" s="178">
        <v>6.2760360000000004</v>
      </c>
      <c r="P184" s="178">
        <v>6.2467100000000002</v>
      </c>
      <c r="Q184" s="178">
        <v>6.2631379999999996</v>
      </c>
      <c r="R184">
        <f t="shared" si="2"/>
        <v>6.2475688750000007</v>
      </c>
    </row>
    <row r="185" spans="1:18" x14ac:dyDescent="0.25">
      <c r="A185" s="179" t="s">
        <v>464</v>
      </c>
      <c r="B185" s="178">
        <v>5.9227299999999996</v>
      </c>
      <c r="C185" s="178">
        <v>5.9758140000000006</v>
      </c>
      <c r="D185" s="178">
        <v>5.9431339999999997</v>
      </c>
      <c r="E185" s="178">
        <v>5.9789080000000006</v>
      </c>
      <c r="F185" s="178">
        <v>5.9677340000000001</v>
      </c>
      <c r="G185" s="178">
        <v>5.9579880000000003</v>
      </c>
      <c r="H185" s="178">
        <v>5.9753999999999996</v>
      </c>
      <c r="I185" s="178">
        <v>6.0959840000000005</v>
      </c>
      <c r="J185" s="178">
        <v>6.1462060000000003</v>
      </c>
      <c r="K185" s="178">
        <v>6.1667520000000007</v>
      </c>
      <c r="L185" s="178">
        <v>6.0018140000000004</v>
      </c>
      <c r="M185" s="178">
        <v>6.0189939999999993</v>
      </c>
      <c r="N185" s="178">
        <v>6.0610179999999998</v>
      </c>
      <c r="O185" s="178">
        <v>6.0475699999999994</v>
      </c>
      <c r="P185" s="178">
        <v>6.0168759999999999</v>
      </c>
      <c r="Q185" s="178">
        <v>6.0340820000000006</v>
      </c>
      <c r="R185">
        <f t="shared" si="2"/>
        <v>6.0194377499999989</v>
      </c>
    </row>
    <row r="186" spans="1:18" x14ac:dyDescent="0.25">
      <c r="A186" s="179" t="s">
        <v>465</v>
      </c>
      <c r="B186" s="178">
        <v>5.229552</v>
      </c>
      <c r="C186" s="178">
        <v>5.2985159999999993</v>
      </c>
      <c r="D186" s="178">
        <v>5.2590020000000006</v>
      </c>
      <c r="E186" s="178">
        <v>5.3028559999999993</v>
      </c>
      <c r="F186" s="178">
        <v>5.2907099999999998</v>
      </c>
      <c r="G186" s="178">
        <v>5.2820100000000005</v>
      </c>
      <c r="H186" s="178">
        <v>5.3024139999999997</v>
      </c>
      <c r="I186" s="178">
        <v>5.4069179999999992</v>
      </c>
      <c r="J186" s="178">
        <v>5.4634200000000002</v>
      </c>
      <c r="K186" s="178">
        <v>5.4833040000000004</v>
      </c>
      <c r="L186" s="178">
        <v>5.32369</v>
      </c>
      <c r="M186" s="178">
        <v>5.3403140000000002</v>
      </c>
      <c r="N186" s="178">
        <v>5.3809820000000004</v>
      </c>
      <c r="O186" s="178">
        <v>5.3680000000000003</v>
      </c>
      <c r="P186" s="178">
        <v>5.3390000000000004</v>
      </c>
      <c r="Q186" s="178">
        <v>5.3592019999999998</v>
      </c>
      <c r="R186">
        <f t="shared" si="2"/>
        <v>5.3393681249999991</v>
      </c>
    </row>
    <row r="187" spans="1:18" x14ac:dyDescent="0.25">
      <c r="A187" s="179" t="s">
        <v>466</v>
      </c>
      <c r="B187" s="178">
        <v>4.9056920000000002</v>
      </c>
      <c r="C187" s="178">
        <v>4.9945879999999994</v>
      </c>
      <c r="D187" s="178">
        <v>4.9467420000000004</v>
      </c>
      <c r="E187" s="178">
        <v>4.9993759999999998</v>
      </c>
      <c r="F187" s="178">
        <v>4.983606</v>
      </c>
      <c r="G187" s="178">
        <v>4.9762719999999998</v>
      </c>
      <c r="H187" s="178">
        <v>4.995876</v>
      </c>
      <c r="I187" s="178">
        <v>5.0898659999999998</v>
      </c>
      <c r="J187" s="178">
        <v>5.1507179999999995</v>
      </c>
      <c r="K187" s="178">
        <v>5.1699579999999994</v>
      </c>
      <c r="L187" s="178">
        <v>5.0155159999999999</v>
      </c>
      <c r="M187" s="178">
        <v>5.0316000000000001</v>
      </c>
      <c r="N187" s="178">
        <v>5.0709520000000001</v>
      </c>
      <c r="O187" s="178">
        <v>5.0583619999999998</v>
      </c>
      <c r="P187" s="178">
        <v>5.0314139999999998</v>
      </c>
      <c r="Q187" s="178">
        <v>5.0508259999999998</v>
      </c>
      <c r="R187">
        <f t="shared" si="2"/>
        <v>5.0294602500000005</v>
      </c>
    </row>
    <row r="188" spans="1:18" x14ac:dyDescent="0.25">
      <c r="A188" s="179" t="s">
        <v>467</v>
      </c>
      <c r="B188" s="178">
        <v>5.23142</v>
      </c>
      <c r="C188" s="178">
        <v>5.3183549999999995</v>
      </c>
      <c r="D188" s="178">
        <v>5.2713900000000002</v>
      </c>
      <c r="E188" s="178">
        <v>5.3230500000000003</v>
      </c>
      <c r="F188" s="178">
        <v>5.3075730000000005</v>
      </c>
      <c r="G188" s="178">
        <v>5.3000950000000007</v>
      </c>
      <c r="H188" s="178">
        <v>5.3196049999999993</v>
      </c>
      <c r="I188" s="178">
        <v>5.4143330000000001</v>
      </c>
      <c r="J188" s="178">
        <v>5.4744679999999999</v>
      </c>
      <c r="K188" s="178">
        <v>5.4936850000000002</v>
      </c>
      <c r="L188" s="178">
        <v>5.3394399999999997</v>
      </c>
      <c r="M188" s="178">
        <v>5.355505</v>
      </c>
      <c r="N188" s="178">
        <v>5.3948029999999996</v>
      </c>
      <c r="O188" s="178">
        <v>5.3822280000000005</v>
      </c>
      <c r="P188" s="178">
        <v>5.3551700000000002</v>
      </c>
      <c r="Q188" s="178">
        <v>5.3744830000000006</v>
      </c>
      <c r="R188">
        <f t="shared" si="2"/>
        <v>5.3534751874999991</v>
      </c>
    </row>
    <row r="189" spans="1:18" x14ac:dyDescent="0.25">
      <c r="A189" s="179" t="s">
        <v>468</v>
      </c>
      <c r="B189" s="178">
        <v>5.7043439999999999</v>
      </c>
      <c r="C189" s="178">
        <v>5.7672179999999997</v>
      </c>
      <c r="D189" s="178">
        <v>5.7306480000000004</v>
      </c>
      <c r="E189" s="178">
        <v>5.7708000000000004</v>
      </c>
      <c r="F189" s="178">
        <v>5.7585640000000007</v>
      </c>
      <c r="G189" s="178">
        <v>5.7494339999999999</v>
      </c>
      <c r="H189" s="178">
        <v>5.7676220000000002</v>
      </c>
      <c r="I189" s="178">
        <v>5.8764919999999998</v>
      </c>
      <c r="J189" s="178">
        <v>5.9288540000000003</v>
      </c>
      <c r="K189" s="178">
        <v>5.9484620000000001</v>
      </c>
      <c r="L189" s="178">
        <v>5.791086</v>
      </c>
      <c r="M189" s="178">
        <v>5.8074759999999994</v>
      </c>
      <c r="N189" s="178">
        <v>5.8475720000000004</v>
      </c>
      <c r="O189" s="178">
        <v>5.8347420000000003</v>
      </c>
      <c r="P189" s="178">
        <v>5.8056260000000002</v>
      </c>
      <c r="Q189" s="178">
        <v>5.8236160000000003</v>
      </c>
      <c r="R189">
        <f t="shared" si="2"/>
        <v>5.8070347500000006</v>
      </c>
    </row>
    <row r="190" spans="1:18" x14ac:dyDescent="0.25">
      <c r="A190" s="179" t="s">
        <v>469</v>
      </c>
      <c r="B190" s="178">
        <v>6.16005</v>
      </c>
      <c r="C190" s="178">
        <v>6.2248999999999999</v>
      </c>
      <c r="D190" s="178">
        <v>6.1870780000000005</v>
      </c>
      <c r="E190" s="178">
        <v>6.2285000000000004</v>
      </c>
      <c r="F190" s="178">
        <v>6.2156120000000001</v>
      </c>
      <c r="G190" s="178">
        <v>6.2066879999999998</v>
      </c>
      <c r="H190" s="178">
        <v>6.2245600000000003</v>
      </c>
      <c r="I190" s="178">
        <v>6.3395600000000005</v>
      </c>
      <c r="J190" s="178">
        <v>6.3936540000000006</v>
      </c>
      <c r="K190" s="178">
        <v>6.4141519999999996</v>
      </c>
      <c r="L190" s="178">
        <v>6.2496080000000003</v>
      </c>
      <c r="M190" s="178">
        <v>6.2667460000000004</v>
      </c>
      <c r="N190" s="178">
        <v>6.3086700000000002</v>
      </c>
      <c r="O190" s="178">
        <v>6.2952579999999996</v>
      </c>
      <c r="P190" s="178">
        <v>6.2654380000000005</v>
      </c>
      <c r="Q190" s="178">
        <v>6.2831019999999995</v>
      </c>
      <c r="R190">
        <f t="shared" si="2"/>
        <v>6.2664735000000009</v>
      </c>
    </row>
    <row r="191" spans="1:18" x14ac:dyDescent="0.25">
      <c r="A191" s="179" t="s">
        <v>470</v>
      </c>
      <c r="B191" s="178">
        <v>6.2030200000000004</v>
      </c>
      <c r="C191" s="178">
        <v>6.2894100000000002</v>
      </c>
      <c r="D191" s="178">
        <v>6.2419899999999995</v>
      </c>
      <c r="E191" s="178">
        <v>6.2939880000000006</v>
      </c>
      <c r="F191" s="178">
        <v>6.2779730000000002</v>
      </c>
      <c r="G191" s="178">
        <v>6.2705849999999996</v>
      </c>
      <c r="H191" s="178">
        <v>6.2894430000000003</v>
      </c>
      <c r="I191" s="178">
        <v>6.3970029999999998</v>
      </c>
      <c r="J191" s="178">
        <v>6.4589699999999999</v>
      </c>
      <c r="K191" s="178">
        <v>6.4798100000000005</v>
      </c>
      <c r="L191" s="178">
        <v>6.3125330000000002</v>
      </c>
      <c r="M191" s="178">
        <v>6.3299579999999995</v>
      </c>
      <c r="N191" s="178">
        <v>6.3725780000000007</v>
      </c>
      <c r="O191" s="178">
        <v>6.3589399999999996</v>
      </c>
      <c r="P191" s="178">
        <v>6.3303100000000008</v>
      </c>
      <c r="Q191" s="178">
        <v>6.3489579999999997</v>
      </c>
      <c r="R191">
        <f t="shared" si="2"/>
        <v>6.3284668125000003</v>
      </c>
    </row>
    <row r="192" spans="1:18" x14ac:dyDescent="0.25">
      <c r="A192" s="179" t="s">
        <v>471</v>
      </c>
      <c r="B192" s="178">
        <v>5.9142460000000003</v>
      </c>
      <c r="C192" s="178">
        <v>6.0083519999999995</v>
      </c>
      <c r="D192" s="178">
        <v>5.9573580000000002</v>
      </c>
      <c r="E192" s="178">
        <v>6.0135680000000002</v>
      </c>
      <c r="F192" s="178">
        <v>5.9970119999999998</v>
      </c>
      <c r="G192" s="178">
        <v>5.9901739999999997</v>
      </c>
      <c r="H192" s="178">
        <v>6.0105399999999998</v>
      </c>
      <c r="I192" s="178">
        <v>6.1138580000000005</v>
      </c>
      <c r="J192" s="178">
        <v>6.1797420000000001</v>
      </c>
      <c r="K192" s="178">
        <v>6.20078</v>
      </c>
      <c r="L192" s="178">
        <v>6.0319060000000002</v>
      </c>
      <c r="M192" s="178">
        <v>6.0494960000000004</v>
      </c>
      <c r="N192" s="178">
        <v>6.0925219999999998</v>
      </c>
      <c r="O192" s="178">
        <v>6.0787520000000006</v>
      </c>
      <c r="P192" s="178">
        <v>6.0504720000000001</v>
      </c>
      <c r="Q192" s="178">
        <v>6.0706280000000001</v>
      </c>
      <c r="R192">
        <f t="shared" si="2"/>
        <v>6.0474628749999999</v>
      </c>
    </row>
    <row r="193" spans="1:18" x14ac:dyDescent="0.25">
      <c r="A193" s="179" t="s">
        <v>472</v>
      </c>
      <c r="B193" s="178">
        <v>5.4281180000000004</v>
      </c>
      <c r="C193" s="178">
        <v>5.5143779999999998</v>
      </c>
      <c r="D193" s="178">
        <v>5.4665900000000001</v>
      </c>
      <c r="E193" s="178">
        <v>5.5192380000000005</v>
      </c>
      <c r="F193" s="178">
        <v>5.503673</v>
      </c>
      <c r="G193" s="178">
        <v>5.4963199999999999</v>
      </c>
      <c r="H193" s="178">
        <v>5.5162479999999992</v>
      </c>
      <c r="I193" s="178">
        <v>5.6269429999999998</v>
      </c>
      <c r="J193" s="178">
        <v>5.6908979999999998</v>
      </c>
      <c r="K193" s="178">
        <v>5.7124550000000003</v>
      </c>
      <c r="L193" s="178">
        <v>5.5394230000000002</v>
      </c>
      <c r="M193" s="178">
        <v>5.5574430000000001</v>
      </c>
      <c r="N193" s="178">
        <v>5.6015299999999995</v>
      </c>
      <c r="O193" s="178">
        <v>5.5874250000000005</v>
      </c>
      <c r="P193" s="178">
        <v>5.558103</v>
      </c>
      <c r="Q193" s="178">
        <v>5.5778100000000004</v>
      </c>
      <c r="R193">
        <f t="shared" si="2"/>
        <v>5.5560371874999994</v>
      </c>
    </row>
    <row r="194" spans="1:18" x14ac:dyDescent="0.25">
      <c r="A194" s="179" t="s">
        <v>473</v>
      </c>
      <c r="B194" s="178">
        <v>5.535272</v>
      </c>
      <c r="C194" s="178">
        <v>5.609864</v>
      </c>
      <c r="D194" s="178">
        <v>5.5671679999999997</v>
      </c>
      <c r="E194" s="178">
        <v>5.6141519999999998</v>
      </c>
      <c r="F194" s="178">
        <v>5.6001120000000002</v>
      </c>
      <c r="G194" s="178">
        <v>5.5919499999999998</v>
      </c>
      <c r="H194" s="178">
        <v>5.611116</v>
      </c>
      <c r="I194" s="178">
        <v>5.7285300000000001</v>
      </c>
      <c r="J194" s="178">
        <v>5.7885200000000001</v>
      </c>
      <c r="K194" s="178">
        <v>5.8102099999999997</v>
      </c>
      <c r="L194" s="178">
        <v>5.636088</v>
      </c>
      <c r="M194" s="178">
        <v>5.6542219999999999</v>
      </c>
      <c r="N194" s="178">
        <v>5.698588</v>
      </c>
      <c r="O194" s="178">
        <v>5.6843900000000005</v>
      </c>
      <c r="P194" s="178">
        <v>5.6541199999999998</v>
      </c>
      <c r="Q194" s="178">
        <v>5.6730679999999998</v>
      </c>
      <c r="R194">
        <f t="shared" ref="R194:R257" si="3">SUM(B194:Q194)/COUNT(B194:Q194)</f>
        <v>5.6535856249999998</v>
      </c>
    </row>
    <row r="195" spans="1:18" x14ac:dyDescent="0.25">
      <c r="A195" s="179" t="s">
        <v>474</v>
      </c>
      <c r="B195" s="178">
        <v>5.4256739999999999</v>
      </c>
      <c r="C195" s="178">
        <v>5.5040279999999999</v>
      </c>
      <c r="D195" s="178">
        <v>5.4595359999999999</v>
      </c>
      <c r="E195" s="178">
        <v>5.5086319999999995</v>
      </c>
      <c r="F195" s="178">
        <v>5.4943200000000001</v>
      </c>
      <c r="G195" s="178">
        <v>5.486434</v>
      </c>
      <c r="H195" s="178">
        <v>5.5063559999999994</v>
      </c>
      <c r="I195" s="178">
        <v>5.6224120000000006</v>
      </c>
      <c r="J195" s="178">
        <v>5.6844979999999996</v>
      </c>
      <c r="K195" s="178">
        <v>5.7063920000000001</v>
      </c>
      <c r="L195" s="178">
        <v>5.5306360000000003</v>
      </c>
      <c r="M195" s="178">
        <v>5.54894</v>
      </c>
      <c r="N195" s="178">
        <v>5.5937200000000002</v>
      </c>
      <c r="O195" s="178">
        <v>5.5793919999999995</v>
      </c>
      <c r="P195" s="178">
        <v>5.5491899999999994</v>
      </c>
      <c r="Q195" s="178">
        <v>5.5688880000000003</v>
      </c>
      <c r="R195">
        <f t="shared" si="3"/>
        <v>5.5480654999999999</v>
      </c>
    </row>
    <row r="196" spans="1:18" x14ac:dyDescent="0.25">
      <c r="A196" s="179" t="s">
        <v>475</v>
      </c>
      <c r="B196" s="182">
        <v>5.2396159999999998</v>
      </c>
      <c r="C196" s="182">
        <v>5.3406779999999996</v>
      </c>
      <c r="D196" s="182">
        <v>5.2864440000000004</v>
      </c>
      <c r="E196" s="182">
        <v>5.3465619999999996</v>
      </c>
      <c r="F196" s="182">
        <v>5.3297319999999999</v>
      </c>
      <c r="G196" s="182">
        <v>5.3233839999999999</v>
      </c>
      <c r="H196" s="182">
        <v>5.3455079999999997</v>
      </c>
      <c r="I196" s="182">
        <v>5.4443760000000001</v>
      </c>
      <c r="J196" s="182">
        <v>5.5141340000000003</v>
      </c>
      <c r="K196" s="182">
        <v>5.5353620000000001</v>
      </c>
      <c r="L196" s="182">
        <v>5.3649440000000004</v>
      </c>
      <c r="M196" s="182">
        <v>5.3826939999999999</v>
      </c>
      <c r="N196" s="182">
        <v>5.4261140000000001</v>
      </c>
      <c r="O196" s="182">
        <v>5.4122219999999999</v>
      </c>
      <c r="P196" s="182">
        <v>5.3842319999999999</v>
      </c>
      <c r="Q196" s="182">
        <v>5.406142</v>
      </c>
      <c r="R196">
        <f t="shared" si="3"/>
        <v>5.3801339999999991</v>
      </c>
    </row>
    <row r="197" spans="1:18" x14ac:dyDescent="0.25">
      <c r="A197" s="179" t="s">
        <v>476</v>
      </c>
      <c r="B197" s="182">
        <v>5.0047100000000002</v>
      </c>
      <c r="C197" s="182">
        <v>5.1340159999999999</v>
      </c>
      <c r="D197" s="182">
        <v>5.0674299999999999</v>
      </c>
      <c r="E197" s="182">
        <v>5.1414099999999996</v>
      </c>
      <c r="F197" s="182">
        <v>5.1211219999999997</v>
      </c>
      <c r="G197" s="182">
        <v>5.1167319999999998</v>
      </c>
      <c r="H197" s="182">
        <v>5.1411660000000001</v>
      </c>
      <c r="I197" s="182">
        <v>5.2234540000000003</v>
      </c>
      <c r="J197" s="182">
        <v>5.3032979999999998</v>
      </c>
      <c r="K197" s="182">
        <v>5.324274</v>
      </c>
      <c r="L197" s="182">
        <v>5.1559119999999998</v>
      </c>
      <c r="M197" s="182">
        <v>5.1734460000000002</v>
      </c>
      <c r="N197" s="182">
        <v>5.216342</v>
      </c>
      <c r="O197" s="182">
        <v>5.2026180000000002</v>
      </c>
      <c r="P197" s="182">
        <v>5.1768460000000003</v>
      </c>
      <c r="Q197" s="182">
        <v>5.2010699999999996</v>
      </c>
      <c r="R197">
        <f t="shared" si="3"/>
        <v>5.1689903749999999</v>
      </c>
    </row>
    <row r="198" spans="1:18" x14ac:dyDescent="0.25">
      <c r="A198" s="179" t="s">
        <v>477</v>
      </c>
      <c r="B198" s="183">
        <v>4.638312</v>
      </c>
      <c r="C198" s="183">
        <v>4.7205219999999999</v>
      </c>
      <c r="D198" s="183">
        <v>4.6749359999999998</v>
      </c>
      <c r="E198" s="183">
        <v>4.7253579999999999</v>
      </c>
      <c r="F198" s="183">
        <v>4.7109560000000004</v>
      </c>
      <c r="G198" s="183">
        <v>4.7032360000000004</v>
      </c>
      <c r="H198" s="183">
        <v>4.7237580000000001</v>
      </c>
      <c r="I198" s="183">
        <v>4.8277939999999999</v>
      </c>
      <c r="J198" s="183">
        <v>4.8894320000000002</v>
      </c>
      <c r="K198" s="183">
        <v>4.9099820000000003</v>
      </c>
      <c r="L198" s="183">
        <v>4.7450359999999998</v>
      </c>
      <c r="M198" s="183">
        <v>4.7622159999999996</v>
      </c>
      <c r="N198" s="183">
        <v>4.8042420000000003</v>
      </c>
      <c r="O198" s="183">
        <v>4.790794</v>
      </c>
      <c r="P198" s="183">
        <v>4.76213</v>
      </c>
      <c r="Q198" s="183">
        <v>4.7824439999999999</v>
      </c>
      <c r="R198">
        <f t="shared" si="3"/>
        <v>4.7606967500000001</v>
      </c>
    </row>
    <row r="199" spans="1:18" x14ac:dyDescent="0.25">
      <c r="A199" s="179" t="s">
        <v>478</v>
      </c>
      <c r="B199" s="178">
        <v>4.801088</v>
      </c>
      <c r="C199" s="178">
        <v>4.8491080000000002</v>
      </c>
      <c r="D199" s="178">
        <v>4.8185000000000002</v>
      </c>
      <c r="E199" s="178">
        <v>4.8522660000000002</v>
      </c>
      <c r="F199" s="178">
        <v>4.8423999999999996</v>
      </c>
      <c r="G199" s="178">
        <v>4.8322960000000004</v>
      </c>
      <c r="H199" s="178">
        <v>4.850638</v>
      </c>
      <c r="I199" s="178">
        <v>4.97248</v>
      </c>
      <c r="J199" s="178">
        <v>5.0221900000000002</v>
      </c>
      <c r="K199" s="178">
        <v>5.0428860000000002</v>
      </c>
      <c r="L199" s="178">
        <v>4.8767300000000002</v>
      </c>
      <c r="M199" s="178">
        <v>4.8940359999999998</v>
      </c>
      <c r="N199" s="178">
        <v>4.9363720000000004</v>
      </c>
      <c r="O199" s="178">
        <v>4.9228259999999997</v>
      </c>
      <c r="P199" s="178">
        <v>4.8916199999999996</v>
      </c>
      <c r="Q199" s="178">
        <v>4.9097559999999998</v>
      </c>
      <c r="R199">
        <f t="shared" si="3"/>
        <v>4.8946994999999998</v>
      </c>
    </row>
    <row r="200" spans="1:18" x14ac:dyDescent="0.25">
      <c r="A200" s="179" t="s">
        <v>479</v>
      </c>
      <c r="B200" s="183">
        <v>5.1189879999999999</v>
      </c>
      <c r="C200" s="183">
        <v>5.1663180000000004</v>
      </c>
      <c r="D200" s="183">
        <v>5.1361039999999996</v>
      </c>
      <c r="E200" s="183">
        <v>5.1693879999999996</v>
      </c>
      <c r="F200" s="183">
        <v>5.1595380000000004</v>
      </c>
      <c r="G200" s="183">
        <v>5.1493760000000002</v>
      </c>
      <c r="H200" s="183">
        <v>5.1674819999999997</v>
      </c>
      <c r="I200" s="183">
        <v>5.2888820000000001</v>
      </c>
      <c r="J200" s="183">
        <v>5.3379260000000004</v>
      </c>
      <c r="K200" s="183">
        <v>5.3584639999999997</v>
      </c>
      <c r="L200" s="183">
        <v>5.1936020000000003</v>
      </c>
      <c r="M200" s="183">
        <v>5.2107739999999998</v>
      </c>
      <c r="N200" s="183">
        <v>5.2527759999999999</v>
      </c>
      <c r="O200" s="183">
        <v>5.2393380000000001</v>
      </c>
      <c r="P200" s="183">
        <v>5.2082379999999997</v>
      </c>
      <c r="Q200" s="183">
        <v>5.22614</v>
      </c>
      <c r="R200">
        <f t="shared" si="3"/>
        <v>5.2114583750000003</v>
      </c>
    </row>
    <row r="201" spans="1:18" x14ac:dyDescent="0.25">
      <c r="A201" s="178" t="s">
        <v>480</v>
      </c>
      <c r="B201" s="182">
        <v>5.021922</v>
      </c>
      <c r="C201" s="182">
        <v>5.0669300000000002</v>
      </c>
      <c r="D201" s="182">
        <v>5.0376960000000004</v>
      </c>
      <c r="E201" s="182">
        <v>5.0698359999999996</v>
      </c>
      <c r="F201" s="182">
        <v>5.0601580000000004</v>
      </c>
      <c r="G201" s="182">
        <v>5.0498440000000002</v>
      </c>
      <c r="H201" s="182">
        <v>5.0675739999999996</v>
      </c>
      <c r="I201" s="182">
        <v>5.1914160000000003</v>
      </c>
      <c r="J201" s="182">
        <v>5.2396380000000002</v>
      </c>
      <c r="K201" s="182">
        <v>5.2603039999999996</v>
      </c>
      <c r="L201" s="182">
        <v>5.0944320000000003</v>
      </c>
      <c r="M201" s="182">
        <v>5.1117080000000001</v>
      </c>
      <c r="N201" s="182">
        <v>5.1539720000000004</v>
      </c>
      <c r="O201" s="182">
        <v>5.1404459999999998</v>
      </c>
      <c r="P201" s="182">
        <v>5.1090679999999997</v>
      </c>
      <c r="Q201" s="182">
        <v>5.1265919999999996</v>
      </c>
      <c r="R201">
        <f t="shared" si="3"/>
        <v>5.112595999999999</v>
      </c>
    </row>
    <row r="202" spans="1:18" x14ac:dyDescent="0.25">
      <c r="A202" s="179" t="s">
        <v>481</v>
      </c>
      <c r="B202" s="182">
        <v>4.9195950000000002</v>
      </c>
      <c r="C202" s="182">
        <v>4.9861449999999996</v>
      </c>
      <c r="D202" s="182">
        <v>4.9470679999999998</v>
      </c>
      <c r="E202" s="182">
        <v>4.9909280000000003</v>
      </c>
      <c r="F202" s="182">
        <v>4.9800399999999998</v>
      </c>
      <c r="G202" s="182">
        <v>4.971228</v>
      </c>
      <c r="H202" s="182">
        <v>4.9936230000000004</v>
      </c>
      <c r="I202" s="182">
        <v>5.1028099999999998</v>
      </c>
      <c r="J202" s="182">
        <v>5.1618880000000003</v>
      </c>
      <c r="K202" s="182">
        <v>5.1828279999999998</v>
      </c>
      <c r="L202" s="182">
        <v>5.0147649999999997</v>
      </c>
      <c r="M202" s="182">
        <v>5.0322649999999998</v>
      </c>
      <c r="N202" s="182">
        <v>5.0750900000000003</v>
      </c>
      <c r="O202" s="182">
        <v>5.0613849999999996</v>
      </c>
      <c r="P202" s="182">
        <v>5.0312349999999997</v>
      </c>
      <c r="Q202" s="182">
        <v>5.05342</v>
      </c>
      <c r="R202">
        <f t="shared" si="3"/>
        <v>5.0315195624999998</v>
      </c>
    </row>
    <row r="203" spans="1:18" x14ac:dyDescent="0.25">
      <c r="A203" s="179" t="s">
        <v>482</v>
      </c>
      <c r="B203" s="183">
        <v>4.8414520000000003</v>
      </c>
      <c r="C203" s="183">
        <v>4.9410639999999999</v>
      </c>
      <c r="D203" s="183">
        <v>4.8875659999999996</v>
      </c>
      <c r="E203" s="183">
        <v>4.9471220000000002</v>
      </c>
      <c r="F203" s="183">
        <v>4.9310960000000001</v>
      </c>
      <c r="G203" s="183">
        <v>4.9246080000000001</v>
      </c>
      <c r="H203" s="183">
        <v>4.947686</v>
      </c>
      <c r="I203" s="183">
        <v>5.0426840000000004</v>
      </c>
      <c r="J203" s="183">
        <v>5.1122120000000004</v>
      </c>
      <c r="K203" s="183">
        <v>5.1330640000000001</v>
      </c>
      <c r="L203" s="183">
        <v>4.9656820000000002</v>
      </c>
      <c r="M203" s="183">
        <v>4.9831139999999996</v>
      </c>
      <c r="N203" s="183">
        <v>5.02576</v>
      </c>
      <c r="O203" s="183">
        <v>5.0121140000000004</v>
      </c>
      <c r="P203" s="183">
        <v>4.9843719999999996</v>
      </c>
      <c r="Q203" s="183">
        <v>5.0072380000000001</v>
      </c>
      <c r="R203">
        <f t="shared" si="3"/>
        <v>4.9804271249999994</v>
      </c>
    </row>
    <row r="204" spans="1:18" x14ac:dyDescent="0.25">
      <c r="A204" s="179" t="s">
        <v>483</v>
      </c>
      <c r="B204" s="178">
        <v>4.6968680000000003</v>
      </c>
      <c r="C204" s="178">
        <v>4.7843980000000004</v>
      </c>
      <c r="D204" s="178">
        <v>4.7361959999999996</v>
      </c>
      <c r="E204" s="178">
        <v>4.7900939999999999</v>
      </c>
      <c r="F204" s="178">
        <v>4.7761959999999997</v>
      </c>
      <c r="G204" s="178">
        <v>4.7688459999999999</v>
      </c>
      <c r="H204" s="178">
        <v>4.7921180000000003</v>
      </c>
      <c r="I204" s="178">
        <v>4.8907660000000002</v>
      </c>
      <c r="J204" s="178">
        <v>4.9566780000000001</v>
      </c>
      <c r="K204" s="178">
        <v>4.9774560000000001</v>
      </c>
      <c r="L204" s="178">
        <v>4.8106619999999998</v>
      </c>
      <c r="M204" s="178">
        <v>4.8280320000000003</v>
      </c>
      <c r="N204" s="178">
        <v>4.8705299999999996</v>
      </c>
      <c r="O204" s="178">
        <v>4.8569300000000002</v>
      </c>
      <c r="P204" s="178">
        <v>4.8284019999999996</v>
      </c>
      <c r="Q204" s="178">
        <v>4.8514600000000003</v>
      </c>
      <c r="R204">
        <f t="shared" si="3"/>
        <v>4.8259770000000008</v>
      </c>
    </row>
    <row r="205" spans="1:18" x14ac:dyDescent="0.25">
      <c r="A205" s="179" t="s">
        <v>484</v>
      </c>
      <c r="B205" s="178">
        <v>5.0902060000000002</v>
      </c>
      <c r="C205" s="178">
        <v>5.1941480000000002</v>
      </c>
      <c r="D205" s="178">
        <v>5.138242</v>
      </c>
      <c r="E205" s="178">
        <v>5.2010019999999999</v>
      </c>
      <c r="F205" s="178">
        <v>5.1854380000000004</v>
      </c>
      <c r="G205" s="178">
        <v>5.1792899999999999</v>
      </c>
      <c r="H205" s="178">
        <v>5.2049000000000003</v>
      </c>
      <c r="I205" s="178">
        <v>5.2988340000000003</v>
      </c>
      <c r="J205" s="178">
        <v>5.3729459999999998</v>
      </c>
      <c r="K205" s="178">
        <v>5.3945360000000004</v>
      </c>
      <c r="L205" s="178">
        <v>5.2212440000000004</v>
      </c>
      <c r="M205" s="178">
        <v>5.2392919999999998</v>
      </c>
      <c r="N205" s="178">
        <v>5.283442</v>
      </c>
      <c r="O205" s="178">
        <v>5.2693180000000002</v>
      </c>
      <c r="P205" s="178">
        <v>5.2411640000000004</v>
      </c>
      <c r="Q205" s="178">
        <v>5.2665579999999999</v>
      </c>
      <c r="R205">
        <f t="shared" si="3"/>
        <v>5.2362849999999996</v>
      </c>
    </row>
    <row r="206" spans="1:18" x14ac:dyDescent="0.25">
      <c r="A206" s="179" t="s">
        <v>485</v>
      </c>
      <c r="B206" s="178">
        <v>5.1686439999999996</v>
      </c>
      <c r="C206" s="178">
        <v>5.2456199999999997</v>
      </c>
      <c r="D206" s="178">
        <v>5.2022519999999997</v>
      </c>
      <c r="E206" s="178">
        <v>5.250032</v>
      </c>
      <c r="F206" s="178">
        <v>5.2359039999999997</v>
      </c>
      <c r="G206" s="178">
        <v>5.2278460000000004</v>
      </c>
      <c r="H206" s="178">
        <v>5.2473140000000003</v>
      </c>
      <c r="I206" s="178">
        <v>5.357272</v>
      </c>
      <c r="J206" s="178">
        <v>5.416906</v>
      </c>
      <c r="K206" s="178">
        <v>5.4377440000000004</v>
      </c>
      <c r="L206" s="178">
        <v>5.2704620000000002</v>
      </c>
      <c r="M206" s="178">
        <v>5.2878860000000003</v>
      </c>
      <c r="N206" s="178">
        <v>5.3305100000000003</v>
      </c>
      <c r="O206" s="178">
        <v>5.3168699999999998</v>
      </c>
      <c r="P206" s="178">
        <v>5.2875740000000002</v>
      </c>
      <c r="Q206" s="178">
        <v>5.306832</v>
      </c>
      <c r="R206">
        <f t="shared" si="3"/>
        <v>5.2868542500000002</v>
      </c>
    </row>
    <row r="207" spans="1:18" x14ac:dyDescent="0.25">
      <c r="A207" s="179" t="s">
        <v>486</v>
      </c>
      <c r="B207" s="178">
        <v>5.5104379999999997</v>
      </c>
      <c r="C207" s="178">
        <v>5.5784599999999998</v>
      </c>
      <c r="D207" s="178">
        <v>5.5388460000000004</v>
      </c>
      <c r="E207" s="178">
        <v>5.5826739999999999</v>
      </c>
      <c r="F207" s="178">
        <v>5.5701999999999998</v>
      </c>
      <c r="G207" s="178">
        <v>5.5615259999999997</v>
      </c>
      <c r="H207" s="178">
        <v>5.5813940000000004</v>
      </c>
      <c r="I207" s="178">
        <v>5.6958460000000004</v>
      </c>
      <c r="J207" s="178">
        <v>5.7535160000000003</v>
      </c>
      <c r="K207" s="178">
        <v>5.7746219999999999</v>
      </c>
      <c r="L207" s="178">
        <v>5.6052039999999996</v>
      </c>
      <c r="M207" s="178">
        <v>5.6228499999999997</v>
      </c>
      <c r="N207" s="178">
        <v>5.6660139999999997</v>
      </c>
      <c r="O207" s="178">
        <v>5.6522059999999996</v>
      </c>
      <c r="P207" s="178">
        <v>5.6220160000000003</v>
      </c>
      <c r="Q207" s="178">
        <v>5.6416740000000001</v>
      </c>
      <c r="R207">
        <f t="shared" si="3"/>
        <v>5.6223428749999993</v>
      </c>
    </row>
    <row r="208" spans="1:18" x14ac:dyDescent="0.25">
      <c r="A208" s="179" t="s">
        <v>487</v>
      </c>
      <c r="B208" s="178">
        <v>5.2367720000000002</v>
      </c>
      <c r="C208" s="178">
        <v>5.3080699999999998</v>
      </c>
      <c r="D208" s="178">
        <v>5.2669459999999999</v>
      </c>
      <c r="E208" s="178">
        <v>5.3127180000000003</v>
      </c>
      <c r="F208" s="178">
        <v>5.3003799999999996</v>
      </c>
      <c r="G208" s="178">
        <v>5.2919239999999999</v>
      </c>
      <c r="H208" s="178">
        <v>5.3130980000000001</v>
      </c>
      <c r="I208" s="178">
        <v>5.4236579999999996</v>
      </c>
      <c r="J208" s="178">
        <v>5.4833619999999996</v>
      </c>
      <c r="K208" s="178">
        <v>5.5044259999999996</v>
      </c>
      <c r="L208" s="178">
        <v>5.3353200000000003</v>
      </c>
      <c r="M208" s="178">
        <v>5.3529340000000003</v>
      </c>
      <c r="N208" s="178">
        <v>5.3960179999999998</v>
      </c>
      <c r="O208" s="178">
        <v>5.3822340000000004</v>
      </c>
      <c r="P208" s="178">
        <v>5.3523040000000002</v>
      </c>
      <c r="Q208" s="178">
        <v>5.3732660000000001</v>
      </c>
      <c r="R208">
        <f t="shared" si="3"/>
        <v>5.3520893750000011</v>
      </c>
    </row>
    <row r="209" spans="1:18" x14ac:dyDescent="0.25">
      <c r="A209" s="179" t="s">
        <v>488</v>
      </c>
      <c r="B209" s="178">
        <v>5.1880699999999997</v>
      </c>
      <c r="C209" s="178">
        <v>5.2555719999999999</v>
      </c>
      <c r="D209" s="178">
        <v>5.2160900000000003</v>
      </c>
      <c r="E209" s="178">
        <v>5.2596920000000003</v>
      </c>
      <c r="F209" s="178">
        <v>5.2470699999999999</v>
      </c>
      <c r="G209" s="178">
        <v>5.238378</v>
      </c>
      <c r="H209" s="178">
        <v>5.2578880000000003</v>
      </c>
      <c r="I209" s="178">
        <v>5.3750439999999999</v>
      </c>
      <c r="J209" s="178">
        <v>5.4326619999999997</v>
      </c>
      <c r="K209" s="178">
        <v>5.4540300000000004</v>
      </c>
      <c r="L209" s="178">
        <v>5.282508</v>
      </c>
      <c r="M209" s="178">
        <v>5.3003739999999997</v>
      </c>
      <c r="N209" s="178">
        <v>5.344074</v>
      </c>
      <c r="O209" s="178">
        <v>5.3300900000000002</v>
      </c>
      <c r="P209" s="178">
        <v>5.2996220000000003</v>
      </c>
      <c r="Q209" s="178">
        <v>5.3189140000000004</v>
      </c>
      <c r="R209">
        <f t="shared" si="3"/>
        <v>5.3000048750000008</v>
      </c>
    </row>
    <row r="210" spans="1:18" x14ac:dyDescent="0.25">
      <c r="A210" s="179" t="s">
        <v>489</v>
      </c>
      <c r="B210" s="178">
        <v>4.981776</v>
      </c>
      <c r="C210" s="178">
        <v>5.0429820000000003</v>
      </c>
      <c r="D210" s="178">
        <v>5.0066560000000004</v>
      </c>
      <c r="E210" s="178">
        <v>5.0467639999999996</v>
      </c>
      <c r="F210" s="178">
        <v>5.03512</v>
      </c>
      <c r="G210" s="178">
        <v>5.0259320000000001</v>
      </c>
      <c r="H210" s="178">
        <v>5.0450280000000003</v>
      </c>
      <c r="I210" s="178">
        <v>5.1594300000000004</v>
      </c>
      <c r="J210" s="178">
        <v>5.2135040000000004</v>
      </c>
      <c r="K210" s="178">
        <v>5.234038</v>
      </c>
      <c r="L210" s="178">
        <v>5.0691800000000002</v>
      </c>
      <c r="M210" s="178">
        <v>5.086354</v>
      </c>
      <c r="N210" s="178">
        <v>5.1283560000000001</v>
      </c>
      <c r="O210" s="178">
        <v>5.114916</v>
      </c>
      <c r="P210" s="178">
        <v>5.0847920000000002</v>
      </c>
      <c r="Q210" s="178">
        <v>5.1036820000000001</v>
      </c>
      <c r="R210">
        <f t="shared" si="3"/>
        <v>5.0861568749999995</v>
      </c>
    </row>
    <row r="211" spans="1:18" x14ac:dyDescent="0.25">
      <c r="A211" s="179" t="s">
        <v>490</v>
      </c>
      <c r="B211" s="178">
        <v>4.9496919999999998</v>
      </c>
      <c r="C211" s="178">
        <v>5.0085459999999999</v>
      </c>
      <c r="D211" s="178">
        <v>4.972988</v>
      </c>
      <c r="E211" s="178">
        <v>5.0122920000000004</v>
      </c>
      <c r="F211" s="178">
        <v>5.0010060000000003</v>
      </c>
      <c r="G211" s="178">
        <v>4.9916859999999996</v>
      </c>
      <c r="H211" s="178">
        <v>5.0108980000000001</v>
      </c>
      <c r="I211" s="178">
        <v>5.1297379999999997</v>
      </c>
      <c r="J211" s="178">
        <v>5.1840279999999996</v>
      </c>
      <c r="K211" s="178">
        <v>5.2050979999999996</v>
      </c>
      <c r="L211" s="178">
        <v>5.0359540000000003</v>
      </c>
      <c r="M211" s="178">
        <v>5.0535740000000002</v>
      </c>
      <c r="N211" s="178">
        <v>5.0966680000000002</v>
      </c>
      <c r="O211" s="178">
        <v>5.0828759999999997</v>
      </c>
      <c r="P211" s="178">
        <v>5.0520800000000001</v>
      </c>
      <c r="Q211" s="178">
        <v>5.071078</v>
      </c>
      <c r="R211">
        <f t="shared" si="3"/>
        <v>5.0536376249999986</v>
      </c>
    </row>
    <row r="212" spans="1:18" x14ac:dyDescent="0.25">
      <c r="A212" s="179" t="s">
        <v>491</v>
      </c>
      <c r="B212" s="178">
        <v>4.9537699999999996</v>
      </c>
      <c r="C212" s="178">
        <v>5.0490760000000003</v>
      </c>
      <c r="D212" s="178">
        <v>4.9970939999999997</v>
      </c>
      <c r="E212" s="178">
        <v>5.0551579999999996</v>
      </c>
      <c r="F212" s="178">
        <v>5.0400299999999998</v>
      </c>
      <c r="G212" s="178">
        <v>5.0332840000000001</v>
      </c>
      <c r="H212" s="178">
        <v>5.0569459999999999</v>
      </c>
      <c r="I212" s="178">
        <v>5.1575059999999997</v>
      </c>
      <c r="J212" s="178">
        <v>5.227328</v>
      </c>
      <c r="K212" s="178">
        <v>5.2488939999999999</v>
      </c>
      <c r="L212" s="178">
        <v>5.0757960000000004</v>
      </c>
      <c r="M212" s="178">
        <v>5.0938239999999997</v>
      </c>
      <c r="N212" s="178">
        <v>5.1379279999999996</v>
      </c>
      <c r="O212" s="178">
        <v>5.1238159999999997</v>
      </c>
      <c r="P212" s="178">
        <v>5.0950899999999999</v>
      </c>
      <c r="Q212" s="178">
        <v>5.1185320000000001</v>
      </c>
      <c r="R212">
        <f t="shared" si="3"/>
        <v>5.0915045000000001</v>
      </c>
    </row>
    <row r="213" spans="1:18" x14ac:dyDescent="0.25">
      <c r="A213" s="179" t="s">
        <v>492</v>
      </c>
      <c r="B213" s="178">
        <v>4.7591570000000001</v>
      </c>
      <c r="C213" s="178">
        <v>4.8758100000000004</v>
      </c>
      <c r="D213" s="178">
        <v>4.81454</v>
      </c>
      <c r="E213" s="178">
        <v>4.8826700000000001</v>
      </c>
      <c r="F213" s="178">
        <v>4.8641230000000002</v>
      </c>
      <c r="G213" s="178">
        <v>4.8588800000000001</v>
      </c>
      <c r="H213" s="178">
        <v>4.8827870000000004</v>
      </c>
      <c r="I213" s="178">
        <v>4.9744799999999998</v>
      </c>
      <c r="J213" s="178">
        <v>5.0508730000000002</v>
      </c>
      <c r="K213" s="178">
        <v>5.0723729999999998</v>
      </c>
      <c r="L213" s="178">
        <v>4.8997830000000002</v>
      </c>
      <c r="M213" s="178">
        <v>4.9177600000000004</v>
      </c>
      <c r="N213" s="178">
        <v>4.9617329999999997</v>
      </c>
      <c r="O213" s="178">
        <v>4.9476630000000004</v>
      </c>
      <c r="P213" s="178">
        <v>4.9205069999999997</v>
      </c>
      <c r="Q213" s="178">
        <v>4.9441930000000003</v>
      </c>
      <c r="R213">
        <f t="shared" si="3"/>
        <v>4.9142082500000006</v>
      </c>
    </row>
    <row r="214" spans="1:18" x14ac:dyDescent="0.25">
      <c r="A214" s="179" t="s">
        <v>493</v>
      </c>
      <c r="B214" s="178">
        <v>4.3570900000000004</v>
      </c>
      <c r="C214" s="178">
        <v>4.4639980000000001</v>
      </c>
      <c r="D214" s="178">
        <v>4.4070739999999997</v>
      </c>
      <c r="E214" s="178">
        <v>4.4707499999999998</v>
      </c>
      <c r="F214" s="178">
        <v>4.4544040000000003</v>
      </c>
      <c r="G214" s="178">
        <v>4.4484339999999998</v>
      </c>
      <c r="H214" s="178">
        <v>4.4733140000000002</v>
      </c>
      <c r="I214" s="178">
        <v>4.5641499999999997</v>
      </c>
      <c r="J214" s="178">
        <v>4.6378060000000003</v>
      </c>
      <c r="K214" s="178">
        <v>4.6589219999999996</v>
      </c>
      <c r="L214" s="178">
        <v>4.4894239999999996</v>
      </c>
      <c r="M214" s="178">
        <v>4.5070779999999999</v>
      </c>
      <c r="N214" s="178">
        <v>4.5502640000000003</v>
      </c>
      <c r="O214" s="178">
        <v>4.5364459999999998</v>
      </c>
      <c r="P214" s="178">
        <v>4.5089540000000001</v>
      </c>
      <c r="Q214" s="178">
        <v>4.5336179999999997</v>
      </c>
      <c r="R214">
        <f t="shared" si="3"/>
        <v>4.5038578749999996</v>
      </c>
    </row>
    <row r="215" spans="1:18" x14ac:dyDescent="0.25">
      <c r="A215" s="179" t="s">
        <v>494</v>
      </c>
      <c r="B215" s="178">
        <v>4.1067600000000004</v>
      </c>
      <c r="C215" s="178">
        <v>4.2250259999999997</v>
      </c>
      <c r="D215" s="178">
        <v>4.1631720000000003</v>
      </c>
      <c r="E215" s="178">
        <v>4.2321960000000001</v>
      </c>
      <c r="F215" s="178">
        <v>4.2140360000000001</v>
      </c>
      <c r="G215" s="178">
        <v>4.2088640000000002</v>
      </c>
      <c r="H215" s="178">
        <v>4.2338820000000004</v>
      </c>
      <c r="I215" s="178">
        <v>4.3197780000000003</v>
      </c>
      <c r="J215" s="178">
        <v>4.3968920000000002</v>
      </c>
      <c r="K215" s="178">
        <v>4.417942</v>
      </c>
      <c r="L215" s="178">
        <v>4.2489540000000003</v>
      </c>
      <c r="M215" s="178">
        <v>4.2665540000000002</v>
      </c>
      <c r="N215" s="178">
        <v>4.3096079999999999</v>
      </c>
      <c r="O215" s="178">
        <v>4.2958319999999999</v>
      </c>
      <c r="P215" s="178">
        <v>4.2692019999999999</v>
      </c>
      <c r="Q215" s="178">
        <v>4.2940060000000004</v>
      </c>
      <c r="R215">
        <f t="shared" si="3"/>
        <v>4.2626689999999989</v>
      </c>
    </row>
    <row r="216" spans="1:18" x14ac:dyDescent="0.25">
      <c r="A216" s="179" t="s">
        <v>495</v>
      </c>
      <c r="B216" s="178">
        <v>4.418094</v>
      </c>
      <c r="C216" s="178">
        <v>4.5094320000000003</v>
      </c>
      <c r="D216" s="178">
        <v>4.459352</v>
      </c>
      <c r="E216" s="178">
        <v>4.5150800000000002</v>
      </c>
      <c r="F216" s="178">
        <v>4.5000299999999998</v>
      </c>
      <c r="G216" s="178">
        <v>4.4930019999999997</v>
      </c>
      <c r="H216" s="178">
        <v>4.5154800000000002</v>
      </c>
      <c r="I216" s="178">
        <v>4.618182</v>
      </c>
      <c r="J216" s="178">
        <v>4.6854880000000003</v>
      </c>
      <c r="K216" s="178">
        <v>4.7068380000000003</v>
      </c>
      <c r="L216" s="178">
        <v>4.5354460000000003</v>
      </c>
      <c r="M216" s="178">
        <v>4.5532940000000002</v>
      </c>
      <c r="N216" s="178">
        <v>4.5969660000000001</v>
      </c>
      <c r="O216" s="178">
        <v>4.582992</v>
      </c>
      <c r="P216" s="178">
        <v>4.5541980000000004</v>
      </c>
      <c r="Q216" s="178">
        <v>4.5764560000000003</v>
      </c>
      <c r="R216">
        <f t="shared" si="3"/>
        <v>4.5512706250000008</v>
      </c>
    </row>
    <row r="217" spans="1:18" x14ac:dyDescent="0.25">
      <c r="A217" s="179" t="s">
        <v>496</v>
      </c>
      <c r="B217" s="178">
        <v>4.3622059999999996</v>
      </c>
      <c r="C217" s="178">
        <v>4.4243079999999999</v>
      </c>
      <c r="D217" s="178">
        <v>4.387384</v>
      </c>
      <c r="E217" s="178">
        <v>4.428204</v>
      </c>
      <c r="F217" s="178">
        <v>4.4164960000000004</v>
      </c>
      <c r="G217" s="178">
        <v>4.4073979999999997</v>
      </c>
      <c r="H217" s="178">
        <v>4.4267960000000004</v>
      </c>
      <c r="I217" s="178">
        <v>4.543088</v>
      </c>
      <c r="J217" s="178">
        <v>4.5983020000000003</v>
      </c>
      <c r="K217" s="178">
        <v>4.6192299999999999</v>
      </c>
      <c r="L217" s="178">
        <v>4.4512140000000002</v>
      </c>
      <c r="M217" s="178">
        <v>4.468712</v>
      </c>
      <c r="N217" s="178">
        <v>4.5115239999999996</v>
      </c>
      <c r="O217" s="178">
        <v>4.4978259999999999</v>
      </c>
      <c r="P217" s="178">
        <v>4.4673920000000003</v>
      </c>
      <c r="Q217" s="178">
        <v>4.4865740000000001</v>
      </c>
      <c r="R217">
        <f t="shared" si="3"/>
        <v>4.4685408750000013</v>
      </c>
    </row>
    <row r="218" spans="1:18" x14ac:dyDescent="0.25">
      <c r="A218" s="179" t="s">
        <v>497</v>
      </c>
      <c r="B218" s="178">
        <v>4.9050649999999996</v>
      </c>
      <c r="C218" s="178">
        <v>4.9640079999999998</v>
      </c>
      <c r="D218" s="178">
        <v>4.9284549999999996</v>
      </c>
      <c r="E218" s="178">
        <v>4.967428</v>
      </c>
      <c r="F218" s="178">
        <v>4.9553979999999997</v>
      </c>
      <c r="G218" s="178">
        <v>4.9461050000000002</v>
      </c>
      <c r="H218" s="178">
        <v>4.9639550000000003</v>
      </c>
      <c r="I218" s="178">
        <v>5.0860700000000003</v>
      </c>
      <c r="J218" s="178">
        <v>5.1394299999999999</v>
      </c>
      <c r="K218" s="178">
        <v>5.1606199999999998</v>
      </c>
      <c r="L218" s="178">
        <v>4.9905400000000002</v>
      </c>
      <c r="M218" s="178">
        <v>5.0082550000000001</v>
      </c>
      <c r="N218" s="178">
        <v>5.0515850000000002</v>
      </c>
      <c r="O218" s="178">
        <v>5.0377229999999997</v>
      </c>
      <c r="P218" s="178">
        <v>5.0068330000000003</v>
      </c>
      <c r="Q218" s="178">
        <v>5.0244679999999997</v>
      </c>
      <c r="R218">
        <f t="shared" si="3"/>
        <v>5.0084961249999997</v>
      </c>
    </row>
    <row r="219" spans="1:18" x14ac:dyDescent="0.25">
      <c r="A219" s="179" t="s">
        <v>498</v>
      </c>
      <c r="B219" s="178">
        <v>4.9735849999999999</v>
      </c>
      <c r="C219" s="178">
        <v>5.005763</v>
      </c>
      <c r="D219" s="178">
        <v>4.9816649999999996</v>
      </c>
      <c r="E219" s="178">
        <v>5.0089449999999998</v>
      </c>
      <c r="F219" s="178">
        <v>5.0198179999999999</v>
      </c>
      <c r="G219" s="178">
        <v>5.0150129999999997</v>
      </c>
      <c r="H219" s="178">
        <v>5.0253249999999996</v>
      </c>
      <c r="I219" s="178">
        <v>5.1423129999999997</v>
      </c>
      <c r="J219" s="178">
        <v>5.2073929999999997</v>
      </c>
      <c r="K219" s="178">
        <v>5.2289830000000004</v>
      </c>
      <c r="L219" s="178">
        <v>5.0556349999999997</v>
      </c>
      <c r="M219" s="178">
        <v>5.0736879999999998</v>
      </c>
      <c r="N219" s="178">
        <v>5.117858</v>
      </c>
      <c r="O219" s="178">
        <v>5.1037249999999998</v>
      </c>
      <c r="P219" s="178">
        <v>5.076905</v>
      </c>
      <c r="Q219" s="178">
        <v>5.0870030000000002</v>
      </c>
      <c r="R219">
        <f t="shared" si="3"/>
        <v>5.0702260624999989</v>
      </c>
    </row>
    <row r="220" spans="1:18" x14ac:dyDescent="0.25">
      <c r="A220" s="179" t="s">
        <v>499</v>
      </c>
      <c r="B220" s="178">
        <v>5.0590380000000001</v>
      </c>
      <c r="C220" s="178">
        <v>5.0801299999999996</v>
      </c>
      <c r="D220" s="178">
        <v>5.061248</v>
      </c>
      <c r="E220" s="178">
        <v>5.0827780000000002</v>
      </c>
      <c r="F220" s="178">
        <v>5.0915939999999997</v>
      </c>
      <c r="G220" s="178">
        <v>5.0845440000000002</v>
      </c>
      <c r="H220" s="178">
        <v>5.0965559999999996</v>
      </c>
      <c r="I220" s="178">
        <v>5.2155620000000003</v>
      </c>
      <c r="J220" s="178">
        <v>5.2717720000000003</v>
      </c>
      <c r="K220" s="178">
        <v>5.2925139999999997</v>
      </c>
      <c r="L220" s="178">
        <v>5.1260000000000003</v>
      </c>
      <c r="M220" s="178">
        <v>5.1433419999999996</v>
      </c>
      <c r="N220" s="178">
        <v>5.1857699999999998</v>
      </c>
      <c r="O220" s="178">
        <v>5.1721940000000002</v>
      </c>
      <c r="P220" s="178">
        <v>5.1440060000000001</v>
      </c>
      <c r="Q220" s="178">
        <v>5.1558000000000002</v>
      </c>
      <c r="R220">
        <f t="shared" si="3"/>
        <v>5.1414280000000003</v>
      </c>
    </row>
    <row r="221" spans="1:18" x14ac:dyDescent="0.25">
      <c r="A221" s="179" t="s">
        <v>500</v>
      </c>
      <c r="B221" s="178">
        <v>5.3457280000000003</v>
      </c>
      <c r="C221" s="178">
        <v>5.3623849999999997</v>
      </c>
      <c r="D221" s="178">
        <v>5.3454800000000002</v>
      </c>
      <c r="E221" s="178">
        <v>5.3647179999999999</v>
      </c>
      <c r="F221" s="178">
        <v>5.3725300000000002</v>
      </c>
      <c r="G221" s="178">
        <v>5.3646599999999998</v>
      </c>
      <c r="H221" s="178">
        <v>5.3768000000000002</v>
      </c>
      <c r="I221" s="178">
        <v>5.4996749999999999</v>
      </c>
      <c r="J221" s="178">
        <v>5.5525679999999999</v>
      </c>
      <c r="K221" s="178">
        <v>5.5732949999999999</v>
      </c>
      <c r="L221" s="178">
        <v>5.4069099999999999</v>
      </c>
      <c r="M221" s="178">
        <v>5.4242379999999999</v>
      </c>
      <c r="N221" s="178">
        <v>5.4666300000000003</v>
      </c>
      <c r="O221" s="178">
        <v>5.4530649999999996</v>
      </c>
      <c r="P221" s="178">
        <v>5.4240680000000001</v>
      </c>
      <c r="Q221" s="178">
        <v>5.4359999999999999</v>
      </c>
      <c r="R221">
        <f t="shared" si="3"/>
        <v>5.4230468750000007</v>
      </c>
    </row>
    <row r="222" spans="1:18" x14ac:dyDescent="0.25">
      <c r="A222" s="179" t="s">
        <v>501</v>
      </c>
      <c r="B222" s="178">
        <v>5.4187839999999996</v>
      </c>
      <c r="C222" s="178">
        <v>5.4333720000000003</v>
      </c>
      <c r="D222" s="178">
        <v>5.4175199999999997</v>
      </c>
      <c r="E222" s="178">
        <v>5.4353420000000003</v>
      </c>
      <c r="F222" s="178">
        <v>5.4422560000000004</v>
      </c>
      <c r="G222" s="178">
        <v>5.4339880000000003</v>
      </c>
      <c r="H222" s="178">
        <v>5.4453639999999996</v>
      </c>
      <c r="I222" s="178">
        <v>5.5705159999999996</v>
      </c>
      <c r="J222" s="178">
        <v>5.6208939999999998</v>
      </c>
      <c r="K222" s="178">
        <v>5.641464</v>
      </c>
      <c r="L222" s="178">
        <v>5.4763679999999999</v>
      </c>
      <c r="M222" s="178">
        <v>5.4935619999999998</v>
      </c>
      <c r="N222" s="178">
        <v>5.5356259999999997</v>
      </c>
      <c r="O222" s="178">
        <v>5.5221660000000004</v>
      </c>
      <c r="P222" s="178">
        <v>5.4929379999999997</v>
      </c>
      <c r="Q222" s="178">
        <v>5.5041019999999996</v>
      </c>
      <c r="R222">
        <f t="shared" si="3"/>
        <v>5.4927663749999995</v>
      </c>
    </row>
    <row r="223" spans="1:18" x14ac:dyDescent="0.25">
      <c r="A223" s="179" t="s">
        <v>502</v>
      </c>
      <c r="B223" s="178">
        <v>4.4797760000000002</v>
      </c>
      <c r="C223" s="178">
        <v>4.4919260000000003</v>
      </c>
      <c r="D223" s="178">
        <v>4.4771679999999998</v>
      </c>
      <c r="E223" s="178">
        <v>4.4938519999999995</v>
      </c>
      <c r="F223" s="178">
        <v>4.5004660000000003</v>
      </c>
      <c r="G223" s="178">
        <v>4.4917179999999997</v>
      </c>
      <c r="H223" s="178">
        <v>4.5037439999999993</v>
      </c>
      <c r="I223" s="178">
        <v>4.6292920000000004</v>
      </c>
      <c r="J223" s="178">
        <v>4.6780879999999998</v>
      </c>
      <c r="K223" s="178">
        <v>4.6985379999999992</v>
      </c>
      <c r="L223" s="178">
        <v>4.5343860000000005</v>
      </c>
      <c r="M223" s="178">
        <v>4.551482</v>
      </c>
      <c r="N223" s="178">
        <v>4.5933059999999992</v>
      </c>
      <c r="O223" s="178">
        <v>4.5799240000000001</v>
      </c>
      <c r="P223" s="178">
        <v>4.5503280000000004</v>
      </c>
      <c r="Q223" s="178">
        <v>4.5621520000000002</v>
      </c>
      <c r="R223">
        <f t="shared" si="3"/>
        <v>4.5510091249999993</v>
      </c>
    </row>
    <row r="224" spans="1:18" x14ac:dyDescent="0.25">
      <c r="A224" s="179" t="s">
        <v>503</v>
      </c>
      <c r="B224" s="178">
        <v>4.2313360000000007</v>
      </c>
      <c r="C224" s="178">
        <v>4.2669240000000004</v>
      </c>
      <c r="D224" s="178">
        <v>4.24153</v>
      </c>
      <c r="E224" s="178">
        <v>4.2705880000000001</v>
      </c>
      <c r="F224" s="178">
        <v>4.2826319999999996</v>
      </c>
      <c r="G224" s="178">
        <v>4.2783059999999997</v>
      </c>
      <c r="H224" s="178">
        <v>4.2897179999999997</v>
      </c>
      <c r="I224" s="178">
        <v>4.3972359999999995</v>
      </c>
      <c r="J224" s="178">
        <v>4.4644380000000004</v>
      </c>
      <c r="K224" s="178">
        <v>4.4853719999999999</v>
      </c>
      <c r="L224" s="178">
        <v>4.317348</v>
      </c>
      <c r="M224" s="178">
        <v>4.334848</v>
      </c>
      <c r="N224" s="178">
        <v>4.3776599999999997</v>
      </c>
      <c r="O224" s="178">
        <v>4.3639599999999996</v>
      </c>
      <c r="P224" s="178">
        <v>4.338298</v>
      </c>
      <c r="Q224" s="178">
        <v>4.3494999999999999</v>
      </c>
      <c r="R224">
        <f t="shared" si="3"/>
        <v>4.3306058750000007</v>
      </c>
    </row>
    <row r="225" spans="1:18" x14ac:dyDescent="0.25">
      <c r="A225" s="179" t="s">
        <v>504</v>
      </c>
      <c r="B225" s="178">
        <v>4.2286360000000007</v>
      </c>
      <c r="C225" s="178">
        <v>4.2897280000000002</v>
      </c>
      <c r="D225" s="178">
        <v>4.2529179999999993</v>
      </c>
      <c r="E225" s="178">
        <v>4.2956279999999998</v>
      </c>
      <c r="F225" s="178">
        <v>4.3142019999999999</v>
      </c>
      <c r="G225" s="178">
        <v>4.3145420000000003</v>
      </c>
      <c r="H225" s="178">
        <v>4.326924</v>
      </c>
      <c r="I225" s="178">
        <v>4.4081919999999997</v>
      </c>
      <c r="J225" s="178">
        <v>4.4954999999999998</v>
      </c>
      <c r="K225" s="178">
        <v>4.5163720000000005</v>
      </c>
      <c r="L225" s="178">
        <v>4.3488220000000002</v>
      </c>
      <c r="M225" s="178">
        <v>4.3662740000000007</v>
      </c>
      <c r="N225" s="178">
        <v>4.4089620000000007</v>
      </c>
      <c r="O225" s="178">
        <v>4.3953040000000003</v>
      </c>
      <c r="P225" s="178">
        <v>4.3743619999999996</v>
      </c>
      <c r="Q225" s="178">
        <v>4.3865400000000001</v>
      </c>
      <c r="R225">
        <f t="shared" si="3"/>
        <v>4.3576816250000006</v>
      </c>
    </row>
    <row r="226" spans="1:18" x14ac:dyDescent="0.25">
      <c r="A226" s="179" t="s">
        <v>505</v>
      </c>
      <c r="B226" s="178">
        <v>4.1771229999999999</v>
      </c>
      <c r="C226" s="178">
        <v>4.2177179999999996</v>
      </c>
      <c r="D226" s="178">
        <v>4.1902179999999998</v>
      </c>
      <c r="E226" s="178">
        <v>4.2215829999999999</v>
      </c>
      <c r="F226" s="178">
        <v>4.2344430000000006</v>
      </c>
      <c r="G226" s="178">
        <v>4.2310230000000004</v>
      </c>
      <c r="H226" s="178">
        <v>4.2417150000000001</v>
      </c>
      <c r="I226" s="178">
        <v>4.3446549999999995</v>
      </c>
      <c r="J226" s="178">
        <v>4.4147650000000001</v>
      </c>
      <c r="K226" s="178">
        <v>4.4355200000000004</v>
      </c>
      <c r="L226" s="178">
        <v>4.2688750000000004</v>
      </c>
      <c r="M226" s="178">
        <v>4.2862330000000002</v>
      </c>
      <c r="N226" s="178">
        <v>4.3286899999999999</v>
      </c>
      <c r="O226" s="178">
        <v>4.3151080000000004</v>
      </c>
      <c r="P226" s="178">
        <v>4.2905230000000003</v>
      </c>
      <c r="Q226" s="178">
        <v>4.3010099999999998</v>
      </c>
      <c r="R226">
        <f t="shared" si="3"/>
        <v>4.2812001250000007</v>
      </c>
    </row>
    <row r="227" spans="1:18" x14ac:dyDescent="0.25">
      <c r="A227" s="179" t="s">
        <v>506</v>
      </c>
      <c r="B227" s="178">
        <v>4.4603100000000007</v>
      </c>
      <c r="C227" s="178">
        <v>4.5116719999999999</v>
      </c>
      <c r="D227" s="178">
        <v>4.4792019999999999</v>
      </c>
      <c r="E227" s="178">
        <v>4.5167440000000001</v>
      </c>
      <c r="F227" s="178">
        <v>4.5328860000000004</v>
      </c>
      <c r="G227" s="178">
        <v>4.5314440000000005</v>
      </c>
      <c r="H227" s="178">
        <v>4.5435759999999998</v>
      </c>
      <c r="I227" s="178">
        <v>4.6346780000000001</v>
      </c>
      <c r="J227" s="178">
        <v>4.7144200000000005</v>
      </c>
      <c r="K227" s="178">
        <v>4.7353239999999994</v>
      </c>
      <c r="L227" s="178">
        <v>4.5675520000000001</v>
      </c>
      <c r="M227" s="178">
        <v>4.5850240000000007</v>
      </c>
      <c r="N227" s="178">
        <v>4.6277679999999997</v>
      </c>
      <c r="O227" s="178">
        <v>4.6140919999999994</v>
      </c>
      <c r="P227" s="178">
        <v>4.591348</v>
      </c>
      <c r="Q227" s="178">
        <v>4.6032679999999999</v>
      </c>
      <c r="R227">
        <f t="shared" si="3"/>
        <v>4.5780817499999999</v>
      </c>
    </row>
    <row r="228" spans="1:18" x14ac:dyDescent="0.25">
      <c r="A228" s="179" t="s">
        <v>507</v>
      </c>
      <c r="B228" s="178">
        <v>4.3144480000000005</v>
      </c>
      <c r="C228" s="178">
        <v>4.3620260000000002</v>
      </c>
      <c r="D228" s="178">
        <v>4.3313180000000004</v>
      </c>
      <c r="E228" s="178">
        <v>4.3667600000000002</v>
      </c>
      <c r="F228" s="178">
        <v>4.3819040000000005</v>
      </c>
      <c r="G228" s="178">
        <v>4.3797420000000002</v>
      </c>
      <c r="H228" s="178">
        <v>4.39175</v>
      </c>
      <c r="I228" s="178">
        <v>4.4857640000000005</v>
      </c>
      <c r="J228" s="178">
        <v>4.5622380000000007</v>
      </c>
      <c r="K228" s="178">
        <v>4.5829979999999999</v>
      </c>
      <c r="L228" s="178">
        <v>4.4163379999999997</v>
      </c>
      <c r="M228" s="178">
        <v>4.4336980000000006</v>
      </c>
      <c r="N228" s="178">
        <v>4.4761600000000001</v>
      </c>
      <c r="O228" s="178">
        <v>4.462574</v>
      </c>
      <c r="P228" s="178">
        <v>4.4392459999999998</v>
      </c>
      <c r="Q228" s="178">
        <v>4.4510459999999998</v>
      </c>
      <c r="R228">
        <f t="shared" si="3"/>
        <v>4.4273756250000007</v>
      </c>
    </row>
    <row r="229" spans="1:18" x14ac:dyDescent="0.25">
      <c r="A229" s="179" t="s">
        <v>508</v>
      </c>
      <c r="B229" s="178">
        <v>3.975946</v>
      </c>
      <c r="C229" s="178">
        <v>4.0151940000000002</v>
      </c>
      <c r="D229" s="178">
        <v>3.988032</v>
      </c>
      <c r="E229" s="178">
        <v>4.019272</v>
      </c>
      <c r="F229" s="178">
        <v>4.032464</v>
      </c>
      <c r="G229" s="178">
        <v>4.028842</v>
      </c>
      <c r="H229" s="178">
        <v>4.0407260000000003</v>
      </c>
      <c r="I229" s="178">
        <v>4.1453040000000003</v>
      </c>
      <c r="J229" s="178">
        <v>4.2160959999999994</v>
      </c>
      <c r="K229" s="178">
        <v>4.2372339999999999</v>
      </c>
      <c r="L229" s="178">
        <v>4.0675279999999994</v>
      </c>
      <c r="M229" s="178">
        <v>4.0852020000000007</v>
      </c>
      <c r="N229" s="178">
        <v>4.1284419999999997</v>
      </c>
      <c r="O229" s="178">
        <v>4.1146080000000005</v>
      </c>
      <c r="P229" s="178">
        <v>4.0894380000000004</v>
      </c>
      <c r="Q229" s="178">
        <v>4.1011040000000003</v>
      </c>
      <c r="R229">
        <f t="shared" si="3"/>
        <v>4.0803395000000009</v>
      </c>
    </row>
    <row r="230" spans="1:18" x14ac:dyDescent="0.25">
      <c r="A230" s="179" t="s">
        <v>509</v>
      </c>
      <c r="B230" s="178">
        <v>3.8716699999999999</v>
      </c>
      <c r="C230" s="178">
        <v>3.905052</v>
      </c>
      <c r="D230" s="178">
        <v>3.877564</v>
      </c>
      <c r="E230" s="178">
        <v>3.9092399999999996</v>
      </c>
      <c r="F230" s="178">
        <v>3.922704</v>
      </c>
      <c r="G230" s="178">
        <v>3.9192020000000003</v>
      </c>
      <c r="H230" s="178">
        <v>3.9313099999999999</v>
      </c>
      <c r="I230" s="178">
        <v>4.0343859999999996</v>
      </c>
      <c r="J230" s="178">
        <v>4.1058059999999994</v>
      </c>
      <c r="K230" s="178">
        <v>4.1268840000000004</v>
      </c>
      <c r="L230" s="178">
        <v>3.957668</v>
      </c>
      <c r="M230" s="178">
        <v>3.9752879999999999</v>
      </c>
      <c r="N230" s="178">
        <v>4.018408</v>
      </c>
      <c r="O230" s="178">
        <v>4.0046119999999998</v>
      </c>
      <c r="P230" s="178">
        <v>3.979622</v>
      </c>
      <c r="Q230" s="178">
        <v>3.9915219999999998</v>
      </c>
      <c r="R230">
        <f t="shared" si="3"/>
        <v>3.9706836250000004</v>
      </c>
    </row>
    <row r="231" spans="1:18" x14ac:dyDescent="0.25">
      <c r="A231" s="179" t="s">
        <v>510</v>
      </c>
      <c r="B231" s="178">
        <v>3.8434920000000004</v>
      </c>
      <c r="C231" s="178">
        <v>3.867734</v>
      </c>
      <c r="D231" s="178">
        <v>3.8426520000000002</v>
      </c>
      <c r="E231" s="178">
        <v>3.8716740000000001</v>
      </c>
      <c r="F231" s="178">
        <v>3.884188</v>
      </c>
      <c r="G231" s="178">
        <v>3.8796539999999999</v>
      </c>
      <c r="H231" s="178">
        <v>3.8925380000000001</v>
      </c>
      <c r="I231" s="178">
        <v>3.9963600000000001</v>
      </c>
      <c r="J231" s="178">
        <v>4.0636580000000002</v>
      </c>
      <c r="K231" s="178">
        <v>4.0843180000000006</v>
      </c>
      <c r="L231" s="178">
        <v>3.9184600000000001</v>
      </c>
      <c r="M231" s="178">
        <v>3.9357319999999998</v>
      </c>
      <c r="N231" s="178">
        <v>3.977992</v>
      </c>
      <c r="O231" s="178">
        <v>3.9644699999999999</v>
      </c>
      <c r="P231" s="178">
        <v>3.938876</v>
      </c>
      <c r="Q231" s="178">
        <v>3.951552</v>
      </c>
      <c r="R231">
        <f t="shared" si="3"/>
        <v>3.9320843750000005</v>
      </c>
    </row>
    <row r="232" spans="1:18" x14ac:dyDescent="0.25">
      <c r="A232" s="179" t="s">
        <v>511</v>
      </c>
      <c r="B232" s="178">
        <v>3.8136030000000001</v>
      </c>
      <c r="C232" s="178">
        <v>3.8465680000000004</v>
      </c>
      <c r="D232" s="178">
        <v>3.81765</v>
      </c>
      <c r="E232" s="178">
        <v>3.8515450000000002</v>
      </c>
      <c r="F232" s="178">
        <v>3.8667899999999999</v>
      </c>
      <c r="G232" s="178">
        <v>3.8637600000000001</v>
      </c>
      <c r="H232" s="178">
        <v>3.878225</v>
      </c>
      <c r="I232" s="178">
        <v>3.9690749999999997</v>
      </c>
      <c r="J232" s="178">
        <v>4.0435949999999998</v>
      </c>
      <c r="K232" s="178">
        <v>4.0639479999999999</v>
      </c>
      <c r="L232" s="178">
        <v>3.9005529999999999</v>
      </c>
      <c r="M232" s="178">
        <v>3.917573</v>
      </c>
      <c r="N232" s="178">
        <v>3.959203</v>
      </c>
      <c r="O232" s="178">
        <v>3.9458829999999998</v>
      </c>
      <c r="P232" s="178">
        <v>3.9221029999999999</v>
      </c>
      <c r="Q232" s="178">
        <v>3.9363600000000001</v>
      </c>
      <c r="R232">
        <f t="shared" si="3"/>
        <v>3.9122771250000001</v>
      </c>
    </row>
    <row r="233" spans="1:18" x14ac:dyDescent="0.25">
      <c r="A233" s="179" t="s">
        <v>512</v>
      </c>
      <c r="B233" s="178">
        <v>3.6708620000000001</v>
      </c>
      <c r="C233" s="178">
        <v>3.6980599999999999</v>
      </c>
      <c r="D233" s="178">
        <v>3.672018</v>
      </c>
      <c r="E233" s="178">
        <v>3.7024599999999999</v>
      </c>
      <c r="F233" s="178">
        <v>3.7160320000000002</v>
      </c>
      <c r="G233" s="178">
        <v>3.71183</v>
      </c>
      <c r="H233" s="178">
        <v>3.7259740000000003</v>
      </c>
      <c r="I233" s="178">
        <v>3.8205</v>
      </c>
      <c r="J233" s="178">
        <v>3.8894000000000002</v>
      </c>
      <c r="K233" s="178">
        <v>3.9093599999999999</v>
      </c>
      <c r="L233" s="178">
        <v>3.7491379999999999</v>
      </c>
      <c r="M233" s="178">
        <v>3.765822</v>
      </c>
      <c r="N233" s="178">
        <v>3.806648</v>
      </c>
      <c r="O233" s="178">
        <v>3.7935839999999996</v>
      </c>
      <c r="P233" s="178">
        <v>3.7690399999999999</v>
      </c>
      <c r="Q233" s="178">
        <v>3.7829800000000002</v>
      </c>
      <c r="R233">
        <f t="shared" si="3"/>
        <v>3.7614817500000002</v>
      </c>
    </row>
    <row r="234" spans="1:18" x14ac:dyDescent="0.25">
      <c r="A234" s="179" t="s">
        <v>513</v>
      </c>
      <c r="B234" s="178">
        <v>3.4370859999999999</v>
      </c>
      <c r="C234" s="178">
        <v>3.4553760000000002</v>
      </c>
      <c r="D234" s="178">
        <v>3.4333420000000001</v>
      </c>
      <c r="E234" s="178">
        <v>3.4587020000000002</v>
      </c>
      <c r="F234" s="178">
        <v>3.4694340000000001</v>
      </c>
      <c r="G234" s="178">
        <v>3.46366</v>
      </c>
      <c r="H234" s="178">
        <v>3.4762020000000002</v>
      </c>
      <c r="I234" s="178">
        <v>3.583148</v>
      </c>
      <c r="J234" s="178">
        <v>3.644352</v>
      </c>
      <c r="K234" s="178">
        <v>3.664488</v>
      </c>
      <c r="L234" s="178">
        <v>3.502834</v>
      </c>
      <c r="M234" s="178">
        <v>3.5196700000000001</v>
      </c>
      <c r="N234" s="178">
        <v>3.5608599999999999</v>
      </c>
      <c r="O234" s="178">
        <v>3.5476799999999997</v>
      </c>
      <c r="P234" s="178">
        <v>3.5213780000000003</v>
      </c>
      <c r="Q234" s="178">
        <v>3.5337199999999998</v>
      </c>
      <c r="R234">
        <f t="shared" si="3"/>
        <v>3.51699575</v>
      </c>
    </row>
    <row r="235" spans="1:18" x14ac:dyDescent="0.25">
      <c r="A235" s="179" t="s">
        <v>514</v>
      </c>
      <c r="B235" s="178">
        <v>3.2629160000000001</v>
      </c>
      <c r="C235" s="178">
        <v>3.2740500000000003</v>
      </c>
      <c r="D235" s="178">
        <v>3.255134</v>
      </c>
      <c r="E235" s="178">
        <v>3.276796</v>
      </c>
      <c r="F235" s="178">
        <v>3.2858020000000003</v>
      </c>
      <c r="G235" s="178">
        <v>3.2787480000000002</v>
      </c>
      <c r="H235" s="178">
        <v>3.2911619999999999</v>
      </c>
      <c r="I235" s="178">
        <v>3.4053200000000001</v>
      </c>
      <c r="J235" s="178">
        <v>3.4611579999999997</v>
      </c>
      <c r="K235" s="178">
        <v>3.4813459999999998</v>
      </c>
      <c r="L235" s="178">
        <v>3.319286</v>
      </c>
      <c r="M235" s="178">
        <v>3.3361680000000002</v>
      </c>
      <c r="N235" s="178">
        <v>3.3774580000000003</v>
      </c>
      <c r="O235" s="178">
        <v>3.3642440000000002</v>
      </c>
      <c r="P235" s="178">
        <v>3.3366100000000003</v>
      </c>
      <c r="Q235" s="178">
        <v>3.3488220000000002</v>
      </c>
      <c r="R235">
        <f t="shared" si="3"/>
        <v>3.3346887499999998</v>
      </c>
    </row>
    <row r="236" spans="1:18" x14ac:dyDescent="0.25">
      <c r="A236" s="179" t="s">
        <v>515</v>
      </c>
      <c r="B236" s="178">
        <v>3.135834</v>
      </c>
      <c r="C236" s="178">
        <v>3.1483499999999998</v>
      </c>
      <c r="D236" s="178">
        <v>3.1288939999999998</v>
      </c>
      <c r="E236" s="178">
        <v>3.151268</v>
      </c>
      <c r="F236" s="178">
        <v>3.1607020000000001</v>
      </c>
      <c r="G236" s="178">
        <v>3.1538539999999999</v>
      </c>
      <c r="H236" s="178">
        <v>3.1665900000000002</v>
      </c>
      <c r="I236" s="178">
        <v>3.2780420000000001</v>
      </c>
      <c r="J236" s="178">
        <v>3.3348439999999999</v>
      </c>
      <c r="K236" s="178">
        <v>3.3548939999999998</v>
      </c>
      <c r="L236" s="178">
        <v>3.1939540000000002</v>
      </c>
      <c r="M236" s="178">
        <v>3.2107159999999997</v>
      </c>
      <c r="N236" s="178">
        <v>3.2517199999999997</v>
      </c>
      <c r="O236" s="178">
        <v>3.2385999999999999</v>
      </c>
      <c r="P236" s="178">
        <v>3.2113180000000003</v>
      </c>
      <c r="Q236" s="178">
        <v>3.2238500000000001</v>
      </c>
      <c r="R236">
        <f t="shared" si="3"/>
        <v>3.2089643749999994</v>
      </c>
    </row>
    <row r="237" spans="1:18" x14ac:dyDescent="0.25">
      <c r="A237" s="179" t="s">
        <v>516</v>
      </c>
      <c r="B237" s="178">
        <v>3.2109800000000002</v>
      </c>
      <c r="C237" s="178">
        <v>3.21889</v>
      </c>
      <c r="D237" s="178">
        <v>3.2014999999999998</v>
      </c>
      <c r="E237" s="178">
        <v>3.2216419999999997</v>
      </c>
      <c r="F237" s="178">
        <v>3.230356</v>
      </c>
      <c r="G237" s="178">
        <v>3.22261</v>
      </c>
      <c r="H237" s="178">
        <v>3.2362340000000001</v>
      </c>
      <c r="I237" s="178">
        <v>3.3498260000000002</v>
      </c>
      <c r="J237" s="178">
        <v>3.4035439999999997</v>
      </c>
      <c r="K237" s="178">
        <v>3.4234839999999997</v>
      </c>
      <c r="L237" s="178">
        <v>3.2634279999999998</v>
      </c>
      <c r="M237" s="178">
        <v>3.2801</v>
      </c>
      <c r="N237" s="178">
        <v>3.3208800000000003</v>
      </c>
      <c r="O237" s="178">
        <v>3.30783</v>
      </c>
      <c r="P237" s="178">
        <v>3.27976</v>
      </c>
      <c r="Q237" s="178">
        <v>3.29318</v>
      </c>
      <c r="R237">
        <f t="shared" si="3"/>
        <v>3.27901525</v>
      </c>
    </row>
    <row r="238" spans="1:18" x14ac:dyDescent="0.25">
      <c r="A238" s="179" t="s">
        <v>517</v>
      </c>
      <c r="B238" s="178">
        <v>3.1980340000000003</v>
      </c>
      <c r="C238" s="178">
        <v>3.205362</v>
      </c>
      <c r="D238" s="178">
        <v>3.1883859999999999</v>
      </c>
      <c r="E238" s="178">
        <v>3.207948</v>
      </c>
      <c r="F238" s="178">
        <v>3.2162640000000002</v>
      </c>
      <c r="G238" s="178">
        <v>3.2083699999999999</v>
      </c>
      <c r="H238" s="178">
        <v>3.2215780000000001</v>
      </c>
      <c r="I238" s="178">
        <v>3.3361239999999999</v>
      </c>
      <c r="J238" s="178">
        <v>3.3887659999999999</v>
      </c>
      <c r="K238" s="178">
        <v>3.4086239999999997</v>
      </c>
      <c r="L238" s="178">
        <v>3.2492040000000002</v>
      </c>
      <c r="M238" s="178">
        <v>3.2658079999999998</v>
      </c>
      <c r="N238" s="178">
        <v>3.3064260000000001</v>
      </c>
      <c r="O238" s="178">
        <v>3.2934319999999997</v>
      </c>
      <c r="P238" s="178">
        <v>3.265288</v>
      </c>
      <c r="Q238" s="178">
        <v>3.2783000000000002</v>
      </c>
      <c r="R238">
        <f t="shared" si="3"/>
        <v>3.2648696250000002</v>
      </c>
    </row>
    <row r="239" spans="1:18" x14ac:dyDescent="0.25">
      <c r="A239" s="179" t="s">
        <v>518</v>
      </c>
      <c r="B239" s="178">
        <v>3.2409560000000002</v>
      </c>
      <c r="C239" s="178">
        <v>3.262362</v>
      </c>
      <c r="D239" s="178">
        <v>3.2388859999999999</v>
      </c>
      <c r="E239" s="178">
        <v>3.2662939999999998</v>
      </c>
      <c r="F239" s="178">
        <v>3.2784659999999999</v>
      </c>
      <c r="G239" s="178">
        <v>3.2732079999999999</v>
      </c>
      <c r="H239" s="178">
        <v>3.2872919999999999</v>
      </c>
      <c r="I239" s="178">
        <v>3.387556</v>
      </c>
      <c r="J239" s="178">
        <v>3.4520560000000002</v>
      </c>
      <c r="K239" s="178">
        <v>3.4720399999999998</v>
      </c>
      <c r="L239" s="178">
        <v>3.3116140000000001</v>
      </c>
      <c r="M239" s="178">
        <v>3.328322</v>
      </c>
      <c r="N239" s="178">
        <v>3.3691979999999999</v>
      </c>
      <c r="O239" s="178">
        <v>3.3561179999999999</v>
      </c>
      <c r="P239" s="178">
        <v>3.3304879999999999</v>
      </c>
      <c r="Q239" s="178">
        <v>3.3443700000000001</v>
      </c>
      <c r="R239">
        <f t="shared" si="3"/>
        <v>3.3249516249999997</v>
      </c>
    </row>
    <row r="240" spans="1:18" x14ac:dyDescent="0.25">
      <c r="A240" s="179" t="s">
        <v>519</v>
      </c>
      <c r="B240" s="178">
        <v>3.201918</v>
      </c>
      <c r="C240" s="178">
        <v>3.2218529999999999</v>
      </c>
      <c r="D240" s="178">
        <v>3.1989650000000003</v>
      </c>
      <c r="E240" s="178">
        <v>3.2254699999999996</v>
      </c>
      <c r="F240" s="178">
        <v>3.2369250000000003</v>
      </c>
      <c r="G240" s="178">
        <v>3.2314699999999998</v>
      </c>
      <c r="H240" s="178">
        <v>3.2446299999999999</v>
      </c>
      <c r="I240" s="178">
        <v>3.3491</v>
      </c>
      <c r="J240" s="178">
        <v>3.412223</v>
      </c>
      <c r="K240" s="178">
        <v>3.4324079999999997</v>
      </c>
      <c r="L240" s="178">
        <v>3.2704</v>
      </c>
      <c r="M240" s="178">
        <v>3.2872730000000003</v>
      </c>
      <c r="N240" s="178">
        <v>3.3285500000000003</v>
      </c>
      <c r="O240" s="178">
        <v>3.3153429999999999</v>
      </c>
      <c r="P240" s="178">
        <v>3.2893180000000002</v>
      </c>
      <c r="Q240" s="178">
        <v>3.30227</v>
      </c>
      <c r="R240">
        <f t="shared" si="3"/>
        <v>3.28425725</v>
      </c>
    </row>
    <row r="241" spans="1:18" x14ac:dyDescent="0.25">
      <c r="A241" s="179" t="s">
        <v>520</v>
      </c>
      <c r="B241" s="178">
        <v>3.2702100000000001</v>
      </c>
      <c r="C241" s="178">
        <v>3.285628</v>
      </c>
      <c r="D241" s="178">
        <v>3.265002</v>
      </c>
      <c r="E241" s="178">
        <v>3.2890820000000001</v>
      </c>
      <c r="F241" s="178">
        <v>3.2997779999999999</v>
      </c>
      <c r="G241" s="178">
        <v>3.2933359999999996</v>
      </c>
      <c r="H241" s="178">
        <v>3.3075380000000001</v>
      </c>
      <c r="I241" s="178">
        <v>3.4116779999999998</v>
      </c>
      <c r="J241" s="178">
        <v>3.4710360000000002</v>
      </c>
      <c r="K241" s="178">
        <v>3.4907539999999999</v>
      </c>
      <c r="L241" s="178">
        <v>3.3324780000000001</v>
      </c>
      <c r="M241" s="178">
        <v>3.3489640000000001</v>
      </c>
      <c r="N241" s="178">
        <v>3.3892899999999999</v>
      </c>
      <c r="O241" s="178">
        <v>3.3763879999999999</v>
      </c>
      <c r="P241" s="178">
        <v>3.3498480000000002</v>
      </c>
      <c r="Q241" s="178">
        <v>3.3638479999999999</v>
      </c>
      <c r="R241">
        <f t="shared" si="3"/>
        <v>3.3465536250000003</v>
      </c>
    </row>
    <row r="242" spans="1:18" x14ac:dyDescent="0.25">
      <c r="A242" s="179" t="s">
        <v>521</v>
      </c>
      <c r="B242" s="178">
        <v>3.1662240000000001</v>
      </c>
      <c r="C242" s="178">
        <v>3.1761340000000002</v>
      </c>
      <c r="D242" s="178">
        <v>3.158172</v>
      </c>
      <c r="E242" s="178">
        <v>3.1790639999999999</v>
      </c>
      <c r="F242" s="178">
        <v>3.1882280000000001</v>
      </c>
      <c r="G242" s="178">
        <v>3.1806999999999999</v>
      </c>
      <c r="H242" s="178">
        <v>3.1946500000000002</v>
      </c>
      <c r="I242" s="178">
        <v>3.3028760000000004</v>
      </c>
      <c r="J242" s="178">
        <v>3.357186</v>
      </c>
      <c r="K242" s="178">
        <v>3.3766400000000001</v>
      </c>
      <c r="L242" s="178">
        <v>3.2204920000000001</v>
      </c>
      <c r="M242" s="178">
        <v>3.2367539999999999</v>
      </c>
      <c r="N242" s="178">
        <v>3.276538</v>
      </c>
      <c r="O242" s="178">
        <v>3.2638099999999999</v>
      </c>
      <c r="P242" s="178">
        <v>3.2364520000000003</v>
      </c>
      <c r="Q242" s="178">
        <v>3.2502059999999999</v>
      </c>
      <c r="R242">
        <f t="shared" si="3"/>
        <v>3.2352578749999998</v>
      </c>
    </row>
    <row r="243" spans="1:18" x14ac:dyDescent="0.25">
      <c r="A243" s="179" t="s">
        <v>522</v>
      </c>
      <c r="B243" s="178">
        <v>3.22309</v>
      </c>
      <c r="C243" s="178">
        <v>3.23889</v>
      </c>
      <c r="D243" s="178">
        <v>3.2185349999999997</v>
      </c>
      <c r="E243" s="178">
        <v>3.2421280000000001</v>
      </c>
      <c r="F243" s="178">
        <v>3.2523499999999999</v>
      </c>
      <c r="G243" s="178">
        <v>3.2458429999999998</v>
      </c>
      <c r="H243" s="178">
        <v>3.2592829999999999</v>
      </c>
      <c r="I243" s="178">
        <v>3.3612229999999998</v>
      </c>
      <c r="J243" s="178">
        <v>3.4189630000000002</v>
      </c>
      <c r="K243" s="178">
        <v>3.438145</v>
      </c>
      <c r="L243" s="178">
        <v>3.2841649999999998</v>
      </c>
      <c r="M243" s="178">
        <v>3.3002029999999998</v>
      </c>
      <c r="N243" s="178">
        <v>3.3394349999999999</v>
      </c>
      <c r="O243" s="178">
        <v>3.3268829999999996</v>
      </c>
      <c r="P243" s="178">
        <v>3.300818</v>
      </c>
      <c r="Q243" s="178">
        <v>3.3140650000000003</v>
      </c>
      <c r="R243">
        <f t="shared" si="3"/>
        <v>3.2977511875000007</v>
      </c>
    </row>
    <row r="244" spans="1:18" x14ac:dyDescent="0.25">
      <c r="A244" s="179" t="s">
        <v>523</v>
      </c>
      <c r="B244" s="178">
        <v>3.1811660000000002</v>
      </c>
      <c r="C244" s="178">
        <v>3.2028760000000003</v>
      </c>
      <c r="D244" s="178">
        <v>3.179738</v>
      </c>
      <c r="E244" s="178">
        <v>3.2067100000000002</v>
      </c>
      <c r="F244" s="178">
        <v>3.2186280000000003</v>
      </c>
      <c r="G244" s="178">
        <v>3.213238</v>
      </c>
      <c r="H244" s="178">
        <v>3.2271520000000002</v>
      </c>
      <c r="I244" s="178">
        <v>3.3235140000000003</v>
      </c>
      <c r="J244" s="178">
        <v>3.3864999999999998</v>
      </c>
      <c r="K244" s="178">
        <v>3.4058260000000002</v>
      </c>
      <c r="L244" s="178">
        <v>3.25068</v>
      </c>
      <c r="M244" s="178">
        <v>3.266842</v>
      </c>
      <c r="N244" s="178">
        <v>3.3063699999999998</v>
      </c>
      <c r="O244" s="178">
        <v>3.2937240000000001</v>
      </c>
      <c r="P244" s="178">
        <v>3.2686320000000002</v>
      </c>
      <c r="Q244" s="178">
        <v>3.2823500000000001</v>
      </c>
      <c r="R244">
        <f t="shared" si="3"/>
        <v>3.263371625</v>
      </c>
    </row>
    <row r="245" spans="1:18" x14ac:dyDescent="0.25">
      <c r="A245" s="179" t="s">
        <v>524</v>
      </c>
      <c r="B245" s="178">
        <v>3.31982</v>
      </c>
      <c r="C245" s="178">
        <v>3.3403670000000001</v>
      </c>
      <c r="D245" s="178">
        <v>3.3176399999999999</v>
      </c>
      <c r="E245" s="178">
        <v>3.3439130000000001</v>
      </c>
      <c r="F245" s="178">
        <v>3.3552070000000001</v>
      </c>
      <c r="G245" s="178">
        <v>3.3496930000000003</v>
      </c>
      <c r="H245" s="178">
        <v>3.3626770000000001</v>
      </c>
      <c r="I245" s="178">
        <v>3.46319</v>
      </c>
      <c r="J245" s="178">
        <v>3.52515</v>
      </c>
      <c r="K245" s="178">
        <v>3.5447130000000002</v>
      </c>
      <c r="L245" s="178">
        <v>3.3876570000000004</v>
      </c>
      <c r="M245" s="178">
        <v>3.4040169999999996</v>
      </c>
      <c r="N245" s="178">
        <v>3.4440300000000001</v>
      </c>
      <c r="O245" s="178">
        <v>3.4312269999999998</v>
      </c>
      <c r="P245" s="178">
        <v>3.40577</v>
      </c>
      <c r="Q245" s="178">
        <v>3.4185569999999998</v>
      </c>
      <c r="R245">
        <f t="shared" si="3"/>
        <v>3.4008517499999997</v>
      </c>
    </row>
    <row r="246" spans="1:18" x14ac:dyDescent="0.25">
      <c r="A246" s="179" t="s">
        <v>525</v>
      </c>
      <c r="B246" s="178">
        <v>3.3895659999999999</v>
      </c>
      <c r="C246" s="178">
        <v>3.4065819999999998</v>
      </c>
      <c r="D246" s="178">
        <v>3.3855140000000001</v>
      </c>
      <c r="E246" s="178">
        <v>3.4099920000000004</v>
      </c>
      <c r="F246" s="178">
        <v>3.4206919999999998</v>
      </c>
      <c r="G246" s="178">
        <v>3.4144639999999997</v>
      </c>
      <c r="H246" s="178">
        <v>3.428118</v>
      </c>
      <c r="I246" s="178">
        <v>3.529798</v>
      </c>
      <c r="J246" s="178">
        <v>3.5891599999999997</v>
      </c>
      <c r="K246" s="178">
        <v>3.6085579999999999</v>
      </c>
      <c r="L246" s="178">
        <v>3.4528600000000003</v>
      </c>
      <c r="M246" s="178">
        <v>3.4690780000000001</v>
      </c>
      <c r="N246" s="178">
        <v>3.5087459999999999</v>
      </c>
      <c r="O246" s="178">
        <v>3.496054</v>
      </c>
      <c r="P246" s="178">
        <v>3.470056</v>
      </c>
      <c r="Q246" s="178">
        <v>3.4835100000000003</v>
      </c>
      <c r="R246">
        <f t="shared" si="3"/>
        <v>3.4664217500000007</v>
      </c>
    </row>
    <row r="247" spans="1:18" x14ac:dyDescent="0.25">
      <c r="A247" s="179" t="s">
        <v>526</v>
      </c>
      <c r="B247" s="178">
        <v>3.4635380000000002</v>
      </c>
      <c r="C247" s="178">
        <v>3.4922339999999998</v>
      </c>
      <c r="D247" s="178">
        <v>3.4661039999999996</v>
      </c>
      <c r="E247" s="178">
        <v>3.4963420000000003</v>
      </c>
      <c r="F247" s="178">
        <v>3.5093860000000001</v>
      </c>
      <c r="G247" s="178">
        <v>3.5052919999999999</v>
      </c>
      <c r="H247" s="178">
        <v>3.5181019999999998</v>
      </c>
      <c r="I247" s="178">
        <v>3.6093640000000002</v>
      </c>
      <c r="J247" s="178">
        <v>3.6766579999999998</v>
      </c>
      <c r="K247" s="178">
        <v>3.6959180000000003</v>
      </c>
      <c r="L247" s="178">
        <v>3.5413260000000002</v>
      </c>
      <c r="M247" s="178">
        <v>3.5574299999999996</v>
      </c>
      <c r="N247" s="178">
        <v>3.596816</v>
      </c>
      <c r="O247" s="178">
        <v>3.584212</v>
      </c>
      <c r="P247" s="178">
        <v>3.560486</v>
      </c>
      <c r="Q247" s="178">
        <v>3.5731060000000001</v>
      </c>
      <c r="R247">
        <f t="shared" si="3"/>
        <v>3.5528946249999995</v>
      </c>
    </row>
    <row r="248" spans="1:18" x14ac:dyDescent="0.25">
      <c r="A248" s="179" t="s">
        <v>527</v>
      </c>
      <c r="B248" s="178">
        <v>3.6758839999999999</v>
      </c>
      <c r="C248" s="178">
        <v>3.7032859999999999</v>
      </c>
      <c r="D248" s="178">
        <v>3.6777899999999999</v>
      </c>
      <c r="E248" s="178">
        <v>3.7076239999999996</v>
      </c>
      <c r="F248" s="178">
        <v>3.7209760000000003</v>
      </c>
      <c r="G248" s="178">
        <v>3.716542</v>
      </c>
      <c r="H248" s="178">
        <v>3.7308499999999998</v>
      </c>
      <c r="I248" s="178">
        <v>3.8193359999999998</v>
      </c>
      <c r="J248" s="178">
        <v>3.88625</v>
      </c>
      <c r="K248" s="178">
        <v>3.9052779999999996</v>
      </c>
      <c r="L248" s="178">
        <v>3.7525360000000001</v>
      </c>
      <c r="M248" s="178">
        <v>3.7684419999999998</v>
      </c>
      <c r="N248" s="178">
        <v>3.8073580000000002</v>
      </c>
      <c r="O248" s="178">
        <v>3.7949079999999999</v>
      </c>
      <c r="P248" s="178">
        <v>3.7710780000000002</v>
      </c>
      <c r="Q248" s="178">
        <v>3.7851919999999999</v>
      </c>
      <c r="R248">
        <f t="shared" si="3"/>
        <v>3.7639581250000003</v>
      </c>
    </row>
    <row r="249" spans="1:18" x14ac:dyDescent="0.25">
      <c r="A249" s="179" t="s">
        <v>528</v>
      </c>
      <c r="B249" s="178">
        <v>4.0110599999999996</v>
      </c>
      <c r="C249" s="178">
        <v>4.0348980000000001</v>
      </c>
      <c r="D249" s="178">
        <v>4.0107200000000001</v>
      </c>
      <c r="E249" s="178">
        <v>4.039148</v>
      </c>
      <c r="F249" s="178">
        <v>4.0520579999999997</v>
      </c>
      <c r="G249" s="178">
        <v>4.0470459999999999</v>
      </c>
      <c r="H249" s="178">
        <v>4.0619779999999999</v>
      </c>
      <c r="I249" s="178">
        <v>4.1546380000000003</v>
      </c>
      <c r="J249" s="178">
        <v>4.2201000000000004</v>
      </c>
      <c r="K249" s="178">
        <v>4.2394499999999997</v>
      </c>
      <c r="L249" s="178">
        <v>4.0841460000000005</v>
      </c>
      <c r="M249" s="178">
        <v>4.1003239999999996</v>
      </c>
      <c r="N249" s="178">
        <v>4.1398919999999997</v>
      </c>
      <c r="O249" s="178">
        <v>4.12723</v>
      </c>
      <c r="P249" s="178">
        <v>4.1025</v>
      </c>
      <c r="Q249" s="178">
        <v>4.1172340000000007</v>
      </c>
      <c r="R249">
        <f t="shared" si="3"/>
        <v>4.0964013750000001</v>
      </c>
    </row>
    <row r="250" spans="1:18" x14ac:dyDescent="0.25">
      <c r="A250" s="179" t="s">
        <v>529</v>
      </c>
      <c r="B250" s="178">
        <v>4.195004</v>
      </c>
      <c r="C250" s="178">
        <v>4.218038</v>
      </c>
      <c r="D250" s="178">
        <v>4.1939500000000001</v>
      </c>
      <c r="E250" s="178">
        <v>4.2224260000000005</v>
      </c>
      <c r="F250" s="178">
        <v>4.2355919999999996</v>
      </c>
      <c r="G250" s="178">
        <v>4.2305079999999995</v>
      </c>
      <c r="H250" s="178">
        <v>4.2461360000000008</v>
      </c>
      <c r="I250" s="178">
        <v>4.3402060000000002</v>
      </c>
      <c r="J250" s="178">
        <v>4.4063639999999999</v>
      </c>
      <c r="K250" s="178">
        <v>4.4260260000000002</v>
      </c>
      <c r="L250" s="178">
        <v>4.2682039999999999</v>
      </c>
      <c r="M250" s="178">
        <v>4.2846400000000004</v>
      </c>
      <c r="N250" s="178">
        <v>4.3248480000000002</v>
      </c>
      <c r="O250" s="178">
        <v>4.3119860000000001</v>
      </c>
      <c r="P250" s="178">
        <v>4.2868580000000005</v>
      </c>
      <c r="Q250" s="178">
        <v>4.3022860000000005</v>
      </c>
      <c r="R250">
        <f t="shared" si="3"/>
        <v>4.2808169999999999</v>
      </c>
    </row>
    <row r="251" spans="1:18" x14ac:dyDescent="0.25">
      <c r="A251" s="179" t="s">
        <v>530</v>
      </c>
      <c r="B251" s="178">
        <v>4.299372</v>
      </c>
      <c r="C251" s="178">
        <v>4.3330659999999996</v>
      </c>
      <c r="D251" s="178">
        <v>4.3040799999999999</v>
      </c>
      <c r="E251" s="178">
        <v>4.3380959999999993</v>
      </c>
      <c r="F251" s="178">
        <v>4.3534740000000003</v>
      </c>
      <c r="G251" s="178">
        <v>4.3504620000000003</v>
      </c>
      <c r="H251" s="178">
        <v>4.3651260000000001</v>
      </c>
      <c r="I251" s="178">
        <v>4.4526639999999995</v>
      </c>
      <c r="J251" s="178">
        <v>4.5269639999999995</v>
      </c>
      <c r="K251" s="178">
        <v>4.5469359999999996</v>
      </c>
      <c r="L251" s="178">
        <v>4.3866000000000005</v>
      </c>
      <c r="M251" s="178">
        <v>4.403302</v>
      </c>
      <c r="N251" s="178">
        <v>4.4441519999999999</v>
      </c>
      <c r="O251" s="178">
        <v>4.4310780000000003</v>
      </c>
      <c r="P251" s="178">
        <v>4.4077120000000001</v>
      </c>
      <c r="Q251" s="178">
        <v>4.422174</v>
      </c>
      <c r="R251">
        <f t="shared" si="3"/>
        <v>4.3978286250000007</v>
      </c>
    </row>
    <row r="252" spans="1:18" x14ac:dyDescent="0.25">
      <c r="A252" s="179" t="s">
        <v>531</v>
      </c>
      <c r="B252" s="178">
        <v>4.3463659999999997</v>
      </c>
      <c r="C252" s="178">
        <v>4.3783239999999992</v>
      </c>
      <c r="D252" s="178">
        <v>4.3503739999999995</v>
      </c>
      <c r="E252" s="178">
        <v>4.382962</v>
      </c>
      <c r="F252" s="178">
        <v>4.3973740000000001</v>
      </c>
      <c r="G252" s="178">
        <v>4.39398</v>
      </c>
      <c r="H252" s="178">
        <v>4.4077020000000005</v>
      </c>
      <c r="I252" s="178">
        <v>4.4969099999999997</v>
      </c>
      <c r="J252" s="178">
        <v>4.5684680000000002</v>
      </c>
      <c r="K252" s="178">
        <v>4.5881639999999999</v>
      </c>
      <c r="L252" s="178">
        <v>4.4300439999999996</v>
      </c>
      <c r="M252" s="178">
        <v>4.4465119999999994</v>
      </c>
      <c r="N252" s="178">
        <v>4.4867979999999994</v>
      </c>
      <c r="O252" s="178">
        <v>4.4739060000000004</v>
      </c>
      <c r="P252" s="178">
        <v>4.4504359999999998</v>
      </c>
      <c r="Q252" s="178">
        <v>4.4639620000000004</v>
      </c>
      <c r="R252">
        <f t="shared" si="3"/>
        <v>4.4413926249999998</v>
      </c>
    </row>
    <row r="253" spans="1:18" x14ac:dyDescent="0.25">
      <c r="A253" s="179" t="s">
        <v>532</v>
      </c>
      <c r="B253" s="178">
        <v>4.3280500000000002</v>
      </c>
      <c r="C253" s="178">
        <v>4.3573680000000001</v>
      </c>
      <c r="D253" s="178">
        <v>4.3306139999999997</v>
      </c>
      <c r="E253" s="178">
        <v>4.3617920000000003</v>
      </c>
      <c r="F253" s="178">
        <v>4.3755600000000001</v>
      </c>
      <c r="G253" s="178">
        <v>4.3716760000000008</v>
      </c>
      <c r="H253" s="178">
        <v>4.3853879999999998</v>
      </c>
      <c r="I253" s="178">
        <v>4.4769759999999996</v>
      </c>
      <c r="J253" s="178">
        <v>4.5464560000000001</v>
      </c>
      <c r="K253" s="178">
        <v>4.5661300000000002</v>
      </c>
      <c r="L253" s="178">
        <v>4.4081940000000008</v>
      </c>
      <c r="M253" s="178">
        <v>4.4246419999999995</v>
      </c>
      <c r="N253" s="178">
        <v>4.4648839999999996</v>
      </c>
      <c r="O253" s="178">
        <v>4.4520080000000002</v>
      </c>
      <c r="P253" s="178">
        <v>4.4280680000000006</v>
      </c>
      <c r="Q253" s="178">
        <v>4.4415820000000004</v>
      </c>
      <c r="R253">
        <f t="shared" si="3"/>
        <v>4.4199617499999997</v>
      </c>
    </row>
    <row r="254" spans="1:18" x14ac:dyDescent="0.25">
      <c r="A254" s="179" t="s">
        <v>533</v>
      </c>
      <c r="B254" s="178">
        <v>4.3391380000000002</v>
      </c>
      <c r="C254" s="178">
        <v>4.3681080000000003</v>
      </c>
      <c r="D254" s="178">
        <v>4.3412929999999994</v>
      </c>
      <c r="E254" s="178">
        <v>4.3724979999999993</v>
      </c>
      <c r="F254" s="178">
        <v>4.386215</v>
      </c>
      <c r="G254" s="178">
        <v>4.3823630000000007</v>
      </c>
      <c r="H254" s="178">
        <v>4.3958880000000002</v>
      </c>
      <c r="I254" s="178">
        <v>4.49003</v>
      </c>
      <c r="J254" s="178">
        <v>4.5598830000000001</v>
      </c>
      <c r="K254" s="178">
        <v>4.5798779999999999</v>
      </c>
      <c r="L254" s="178">
        <v>4.419378</v>
      </c>
      <c r="M254" s="178">
        <v>4.4360949999999999</v>
      </c>
      <c r="N254" s="178">
        <v>4.4769880000000004</v>
      </c>
      <c r="O254" s="178">
        <v>4.4639030000000002</v>
      </c>
      <c r="P254" s="178">
        <v>4.4396700000000004</v>
      </c>
      <c r="Q254" s="178">
        <v>4.4529930000000002</v>
      </c>
      <c r="R254">
        <f t="shared" si="3"/>
        <v>4.4315200625000006</v>
      </c>
    </row>
    <row r="255" spans="1:18" x14ac:dyDescent="0.25">
      <c r="A255" s="179" t="s">
        <v>534</v>
      </c>
      <c r="B255" s="178">
        <v>4.4371459999999994</v>
      </c>
      <c r="C255" s="178">
        <v>4.4544319999999997</v>
      </c>
      <c r="D255" s="178">
        <v>4.4332460000000005</v>
      </c>
      <c r="E255" s="178">
        <v>4.4571139999999998</v>
      </c>
      <c r="F255" s="178">
        <v>4.4664480000000006</v>
      </c>
      <c r="G255" s="178">
        <v>4.4604340000000002</v>
      </c>
      <c r="H255" s="178">
        <v>4.4708059999999996</v>
      </c>
      <c r="I255" s="178">
        <v>4.5798519999999998</v>
      </c>
      <c r="J255" s="178">
        <v>4.6376200000000001</v>
      </c>
      <c r="K255" s="178">
        <v>4.6573280000000006</v>
      </c>
      <c r="L255" s="178">
        <v>4.4991339999999997</v>
      </c>
      <c r="M255" s="178">
        <v>4.5156080000000003</v>
      </c>
      <c r="N255" s="178">
        <v>4.5559159999999999</v>
      </c>
      <c r="O255" s="178">
        <v>4.5430200000000003</v>
      </c>
      <c r="P255" s="178">
        <v>4.5169179999999995</v>
      </c>
      <c r="Q255" s="178">
        <v>4.527088</v>
      </c>
      <c r="R255">
        <f t="shared" si="3"/>
        <v>4.5132568750000006</v>
      </c>
    </row>
    <row r="256" spans="1:18" x14ac:dyDescent="0.25">
      <c r="A256" s="179" t="s">
        <v>535</v>
      </c>
      <c r="B256" s="178">
        <v>4.3562879999999993</v>
      </c>
      <c r="C256" s="178">
        <v>4.3717820000000005</v>
      </c>
      <c r="D256" s="178">
        <v>4.351356</v>
      </c>
      <c r="E256" s="178">
        <v>4.3746780000000003</v>
      </c>
      <c r="F256" s="178">
        <v>4.3842780000000001</v>
      </c>
      <c r="G256" s="178">
        <v>4.377872</v>
      </c>
      <c r="H256" s="178">
        <v>4.3897820000000003</v>
      </c>
      <c r="I256" s="178">
        <v>4.4973540000000005</v>
      </c>
      <c r="J256" s="178">
        <v>4.5547459999999997</v>
      </c>
      <c r="K256" s="178">
        <v>4.57437</v>
      </c>
      <c r="L256" s="178">
        <v>4.41683</v>
      </c>
      <c r="M256" s="178">
        <v>4.433236</v>
      </c>
      <c r="N256" s="178">
        <v>4.4733779999999994</v>
      </c>
      <c r="O256" s="178">
        <v>4.460534</v>
      </c>
      <c r="P256" s="178">
        <v>4.4341239999999997</v>
      </c>
      <c r="Q256" s="178">
        <v>4.4458359999999999</v>
      </c>
      <c r="R256">
        <f t="shared" si="3"/>
        <v>4.4310277500000002</v>
      </c>
    </row>
    <row r="257" spans="1:18" x14ac:dyDescent="0.25">
      <c r="A257" s="179" t="s">
        <v>536</v>
      </c>
      <c r="B257" s="178">
        <v>4.4416260000000003</v>
      </c>
      <c r="C257" s="178">
        <v>4.4720879999999994</v>
      </c>
      <c r="D257" s="178">
        <v>4.4445100000000002</v>
      </c>
      <c r="E257" s="178">
        <v>4.4765519999999999</v>
      </c>
      <c r="F257" s="178">
        <v>4.490564</v>
      </c>
      <c r="G257" s="178">
        <v>4.487044</v>
      </c>
      <c r="H257" s="178">
        <v>4.5003019999999996</v>
      </c>
      <c r="I257" s="178">
        <v>4.5944380000000002</v>
      </c>
      <c r="J257" s="178">
        <v>4.6656219999999999</v>
      </c>
      <c r="K257" s="178">
        <v>4.6857759999999997</v>
      </c>
      <c r="L257" s="178">
        <v>4.5239899999999995</v>
      </c>
      <c r="M257" s="178">
        <v>4.5408439999999999</v>
      </c>
      <c r="N257" s="178">
        <v>4.5820619999999996</v>
      </c>
      <c r="O257" s="178">
        <v>4.5688760000000004</v>
      </c>
      <c r="P257" s="178">
        <v>4.54481</v>
      </c>
      <c r="Q257" s="178">
        <v>4.5578659999999998</v>
      </c>
      <c r="R257">
        <f t="shared" si="3"/>
        <v>4.5360606250000002</v>
      </c>
    </row>
    <row r="258" spans="1:18" x14ac:dyDescent="0.25">
      <c r="A258" s="179" t="s">
        <v>537</v>
      </c>
      <c r="B258" s="178">
        <v>4.3529</v>
      </c>
      <c r="C258" s="178">
        <v>4.3819699999999999</v>
      </c>
      <c r="D258" s="178">
        <v>4.3545280000000002</v>
      </c>
      <c r="E258" s="178">
        <v>4.3868559999999999</v>
      </c>
      <c r="F258" s="178">
        <v>4.4016360000000008</v>
      </c>
      <c r="G258" s="178">
        <v>4.3979600000000003</v>
      </c>
      <c r="H258" s="178">
        <v>4.4131660000000004</v>
      </c>
      <c r="I258" s="178">
        <v>4.508184</v>
      </c>
      <c r="J258" s="178">
        <v>4.5810500000000003</v>
      </c>
      <c r="K258" s="178">
        <v>4.6017039999999998</v>
      </c>
      <c r="L258" s="178">
        <v>4.4358959999999996</v>
      </c>
      <c r="M258" s="178">
        <v>4.4531660000000004</v>
      </c>
      <c r="N258" s="178">
        <v>4.4954139999999994</v>
      </c>
      <c r="O258" s="178">
        <v>4.4818940000000005</v>
      </c>
      <c r="P258" s="178">
        <v>4.4571639999999997</v>
      </c>
      <c r="Q258" s="178">
        <v>4.4721580000000003</v>
      </c>
      <c r="R258">
        <f t="shared" ref="R258:R270" si="4">SUM(B258:Q258)/COUNT(B258:Q258)</f>
        <v>4.448477875</v>
      </c>
    </row>
    <row r="259" spans="1:18" x14ac:dyDescent="0.25">
      <c r="A259" s="179" t="s">
        <v>538</v>
      </c>
      <c r="B259" s="178">
        <v>4.1722960000000002</v>
      </c>
      <c r="C259" s="178">
        <v>4.2004200000000003</v>
      </c>
      <c r="D259" s="178">
        <v>4.1737500000000001</v>
      </c>
      <c r="E259" s="178">
        <v>4.2046060000000001</v>
      </c>
      <c r="F259" s="178">
        <v>4.2178999999999993</v>
      </c>
      <c r="G259" s="178">
        <v>4.2140320000000004</v>
      </c>
      <c r="H259" s="178">
        <v>4.2267539999999997</v>
      </c>
      <c r="I259" s="178">
        <v>4.325526</v>
      </c>
      <c r="J259" s="178">
        <v>4.3951120000000001</v>
      </c>
      <c r="K259" s="178">
        <v>4.4155139999999999</v>
      </c>
      <c r="L259" s="178">
        <v>4.2517380000000005</v>
      </c>
      <c r="M259" s="178">
        <v>4.268796</v>
      </c>
      <c r="N259" s="178">
        <v>4.3105219999999997</v>
      </c>
      <c r="O259" s="178">
        <v>4.2971719999999998</v>
      </c>
      <c r="P259" s="178">
        <v>4.2725080000000002</v>
      </c>
      <c r="Q259" s="178">
        <v>4.2850239999999999</v>
      </c>
      <c r="R259">
        <f t="shared" si="4"/>
        <v>4.2644793750000005</v>
      </c>
    </row>
    <row r="260" spans="1:18" x14ac:dyDescent="0.25">
      <c r="A260" s="179" t="s">
        <v>539</v>
      </c>
      <c r="B260" s="178">
        <v>4.1985760000000001</v>
      </c>
      <c r="C260" s="178">
        <v>4.2175760000000002</v>
      </c>
      <c r="D260" s="178">
        <v>4.1951459999999994</v>
      </c>
      <c r="E260" s="178">
        <v>4.2208119999999996</v>
      </c>
      <c r="F260" s="178">
        <v>4.2314639999999999</v>
      </c>
      <c r="G260" s="178">
        <v>4.225886</v>
      </c>
      <c r="H260" s="178">
        <v>4.2377479999999998</v>
      </c>
      <c r="I260" s="178">
        <v>4.3457400000000002</v>
      </c>
      <c r="J260" s="178">
        <v>4.4073000000000002</v>
      </c>
      <c r="K260" s="178">
        <v>4.4275420000000008</v>
      </c>
      <c r="L260" s="178">
        <v>4.2650379999999997</v>
      </c>
      <c r="M260" s="178">
        <v>4.281962</v>
      </c>
      <c r="N260" s="178">
        <v>4.3233680000000003</v>
      </c>
      <c r="O260" s="178">
        <v>4.3101199999999995</v>
      </c>
      <c r="P260" s="178">
        <v>4.2839080000000003</v>
      </c>
      <c r="Q260" s="178">
        <v>4.2955680000000003</v>
      </c>
      <c r="R260">
        <f t="shared" si="4"/>
        <v>4.279234625</v>
      </c>
    </row>
    <row r="261" spans="1:18" x14ac:dyDescent="0.25">
      <c r="A261" s="179" t="s">
        <v>540</v>
      </c>
      <c r="B261" s="178">
        <v>4.095904</v>
      </c>
      <c r="C261" s="178">
        <v>4.1162200000000002</v>
      </c>
      <c r="D261" s="178">
        <v>4.0932319999999995</v>
      </c>
      <c r="E261" s="178">
        <v>4.1197759999999999</v>
      </c>
      <c r="F261" s="178">
        <v>4.1311340000000003</v>
      </c>
      <c r="G261" s="178">
        <v>4.1257419999999998</v>
      </c>
      <c r="H261" s="178">
        <v>4.1385519999999998</v>
      </c>
      <c r="I261" s="178">
        <v>4.2428379999999999</v>
      </c>
      <c r="J261" s="178">
        <v>4.3058180000000004</v>
      </c>
      <c r="K261" s="178">
        <v>4.3259300000000005</v>
      </c>
      <c r="L261" s="178">
        <v>4.1644899999999998</v>
      </c>
      <c r="M261" s="178">
        <v>4.1813059999999993</v>
      </c>
      <c r="N261" s="178">
        <v>4.2224380000000004</v>
      </c>
      <c r="O261" s="178">
        <v>4.209276</v>
      </c>
      <c r="P261" s="178">
        <v>4.1833840000000002</v>
      </c>
      <c r="Q261" s="178">
        <v>4.1959920000000004</v>
      </c>
      <c r="R261">
        <f t="shared" si="4"/>
        <v>4.1782520000000005</v>
      </c>
    </row>
    <row r="262" spans="1:18" x14ac:dyDescent="0.25">
      <c r="A262" s="179" t="s">
        <v>541</v>
      </c>
      <c r="B262" s="178">
        <v>4.1708599999999993</v>
      </c>
      <c r="C262" s="178">
        <v>4.1914860000000003</v>
      </c>
      <c r="D262" s="178">
        <v>4.1683519999999996</v>
      </c>
      <c r="E262" s="178">
        <v>4.1952780000000001</v>
      </c>
      <c r="F262" s="178">
        <v>4.2071139999999998</v>
      </c>
      <c r="G262" s="178">
        <v>4.2017340000000001</v>
      </c>
      <c r="H262" s="178">
        <v>4.2154699999999998</v>
      </c>
      <c r="I262" s="178">
        <v>4.3173900000000005</v>
      </c>
      <c r="J262" s="178">
        <v>4.381132</v>
      </c>
      <c r="K262" s="178">
        <v>4.4011679999999993</v>
      </c>
      <c r="L262" s="178">
        <v>4.2403420000000001</v>
      </c>
      <c r="M262" s="178">
        <v>4.2570940000000004</v>
      </c>
      <c r="N262" s="178">
        <v>4.2980679999999998</v>
      </c>
      <c r="O262" s="178">
        <v>4.2849599999999999</v>
      </c>
      <c r="P262" s="178">
        <v>4.2591540000000006</v>
      </c>
      <c r="Q262" s="178">
        <v>4.2726899999999999</v>
      </c>
      <c r="R262">
        <f t="shared" si="4"/>
        <v>4.25389325</v>
      </c>
    </row>
    <row r="263" spans="1:18" x14ac:dyDescent="0.25">
      <c r="A263" s="179" t="s">
        <v>542</v>
      </c>
      <c r="B263" s="178">
        <v>4.0136959999999995</v>
      </c>
      <c r="C263" s="178">
        <v>4.0423179999999999</v>
      </c>
      <c r="D263" s="178">
        <v>4.0158319999999996</v>
      </c>
      <c r="E263" s="178">
        <v>4.0468000000000002</v>
      </c>
      <c r="F263" s="178">
        <v>4.0606119999999999</v>
      </c>
      <c r="G263" s="178">
        <v>4.0565920000000002</v>
      </c>
      <c r="H263" s="178">
        <v>4.0707560000000003</v>
      </c>
      <c r="I263" s="178">
        <v>4.1622719999999997</v>
      </c>
      <c r="J263" s="178">
        <v>4.2315959999999997</v>
      </c>
      <c r="K263" s="178">
        <v>4.2512819999999998</v>
      </c>
      <c r="L263" s="178">
        <v>4.0932640000000005</v>
      </c>
      <c r="M263" s="178">
        <v>4.1097200000000003</v>
      </c>
      <c r="N263" s="178">
        <v>4.1499819999999996</v>
      </c>
      <c r="O263" s="178">
        <v>4.1370979999999999</v>
      </c>
      <c r="P263" s="178">
        <v>4.1130139999999997</v>
      </c>
      <c r="Q263" s="178">
        <v>4.1269780000000003</v>
      </c>
      <c r="R263">
        <f t="shared" si="4"/>
        <v>4.1051132500000005</v>
      </c>
    </row>
    <row r="264" spans="1:18" x14ac:dyDescent="0.25">
      <c r="A264" s="179" t="s">
        <v>543</v>
      </c>
      <c r="B264" s="178">
        <v>3.9843280000000001</v>
      </c>
      <c r="C264" s="178">
        <v>4.0297700000000001</v>
      </c>
      <c r="D264" s="178">
        <v>3.995654</v>
      </c>
      <c r="E264" s="178">
        <v>4.0361960000000003</v>
      </c>
      <c r="F264" s="178">
        <v>4.0552419999999998</v>
      </c>
      <c r="G264" s="178">
        <v>4.0542400000000001</v>
      </c>
      <c r="H264" s="178">
        <v>4.07104</v>
      </c>
      <c r="I264" s="178">
        <v>4.1415060000000006</v>
      </c>
      <c r="J264" s="178">
        <v>4.2255460000000005</v>
      </c>
      <c r="K264" s="178">
        <v>4.2451559999999997</v>
      </c>
      <c r="L264" s="178">
        <v>4.0877620000000006</v>
      </c>
      <c r="M264" s="178">
        <v>4.104158</v>
      </c>
      <c r="N264" s="178">
        <v>4.1442579999999998</v>
      </c>
      <c r="O264" s="178">
        <v>4.1314260000000003</v>
      </c>
      <c r="P264" s="178">
        <v>4.110436</v>
      </c>
      <c r="Q264" s="178">
        <v>4.12704</v>
      </c>
      <c r="R264">
        <f t="shared" si="4"/>
        <v>4.0964848749999998</v>
      </c>
    </row>
    <row r="265" spans="1:18" x14ac:dyDescent="0.25">
      <c r="A265" s="179" t="s">
        <v>544</v>
      </c>
      <c r="B265" s="178">
        <v>3.7788170000000001</v>
      </c>
      <c r="C265" s="178">
        <v>3.8318429999999997</v>
      </c>
      <c r="D265" s="178">
        <v>3.7942900000000002</v>
      </c>
      <c r="E265" s="178">
        <v>3.8390270000000002</v>
      </c>
      <c r="F265" s="178">
        <v>3.8601930000000002</v>
      </c>
      <c r="G265" s="178">
        <v>3.860573</v>
      </c>
      <c r="H265" s="178">
        <v>3.8780269999999999</v>
      </c>
      <c r="I265" s="178">
        <v>3.9402269999999997</v>
      </c>
      <c r="J265" s="178">
        <v>4.0305900000000001</v>
      </c>
      <c r="K265" s="178">
        <v>4.0502069999999994</v>
      </c>
      <c r="L265" s="178">
        <v>3.8927330000000002</v>
      </c>
      <c r="M265" s="178">
        <v>3.9091300000000002</v>
      </c>
      <c r="N265" s="178">
        <v>3.9492530000000001</v>
      </c>
      <c r="O265" s="178">
        <v>3.9364170000000001</v>
      </c>
      <c r="P265" s="178">
        <v>3.9168029999999998</v>
      </c>
      <c r="Q265" s="178">
        <v>3.9340569999999997</v>
      </c>
      <c r="R265">
        <f t="shared" si="4"/>
        <v>3.9001366874999999</v>
      </c>
    </row>
    <row r="266" spans="1:18" x14ac:dyDescent="0.25">
      <c r="A266" s="179" t="s">
        <v>545</v>
      </c>
      <c r="B266" s="178">
        <v>3.7790500000000002</v>
      </c>
      <c r="C266" s="178">
        <v>3.8421979999999998</v>
      </c>
      <c r="D266" s="178">
        <v>3.8000819999999997</v>
      </c>
      <c r="E266" s="178">
        <v>3.8502939999999999</v>
      </c>
      <c r="F266" s="178">
        <v>3.8741140000000001</v>
      </c>
      <c r="G266" s="178">
        <v>3.8763580000000002</v>
      </c>
      <c r="H266" s="178">
        <v>3.894288</v>
      </c>
      <c r="I266" s="178">
        <v>3.9462159999999997</v>
      </c>
      <c r="J266" s="178">
        <v>4.04474</v>
      </c>
      <c r="K266" s="178">
        <v>4.0643840000000004</v>
      </c>
      <c r="L266" s="178">
        <v>3.9066959999999997</v>
      </c>
      <c r="M266" s="178">
        <v>3.9231180000000001</v>
      </c>
      <c r="N266" s="178">
        <v>3.9632959999999997</v>
      </c>
      <c r="O266" s="178">
        <v>3.95044</v>
      </c>
      <c r="P266" s="178">
        <v>3.932658</v>
      </c>
      <c r="Q266" s="178">
        <v>3.9503919999999999</v>
      </c>
      <c r="R266">
        <f t="shared" si="4"/>
        <v>3.9123952499999999</v>
      </c>
    </row>
    <row r="267" spans="1:18" x14ac:dyDescent="0.25">
      <c r="A267" s="179" t="s">
        <v>546</v>
      </c>
      <c r="B267" s="178">
        <v>3.540584</v>
      </c>
      <c r="C267" s="178">
        <v>3.606398</v>
      </c>
      <c r="D267" s="178">
        <v>3.5631159999999999</v>
      </c>
      <c r="E267" s="178">
        <v>3.6142979999999998</v>
      </c>
      <c r="F267" s="178">
        <v>3.6379839999999999</v>
      </c>
      <c r="G267" s="178">
        <v>3.6407940000000001</v>
      </c>
      <c r="H267" s="178">
        <v>3.6569760000000002</v>
      </c>
      <c r="I267" s="178">
        <v>3.7102379999999999</v>
      </c>
      <c r="J267" s="178">
        <v>3.8097620000000001</v>
      </c>
      <c r="K267" s="178">
        <v>3.8295360000000001</v>
      </c>
      <c r="L267" s="178">
        <v>3.670782</v>
      </c>
      <c r="M267" s="178">
        <v>3.6873200000000002</v>
      </c>
      <c r="N267" s="178">
        <v>3.7277659999999999</v>
      </c>
      <c r="O267" s="178">
        <v>3.7148220000000003</v>
      </c>
      <c r="P267" s="178">
        <v>3.6974780000000003</v>
      </c>
      <c r="Q267" s="178">
        <v>3.7134560000000003</v>
      </c>
      <c r="R267">
        <f t="shared" si="4"/>
        <v>3.6763318750000002</v>
      </c>
    </row>
    <row r="268" spans="1:18" x14ac:dyDescent="0.25">
      <c r="A268" s="179" t="s">
        <v>547</v>
      </c>
      <c r="B268" s="178">
        <v>3.4107460000000001</v>
      </c>
      <c r="C268" s="178">
        <v>3.4666419999999998</v>
      </c>
      <c r="D268" s="178">
        <v>3.427956</v>
      </c>
      <c r="E268" s="178">
        <v>3.4730620000000001</v>
      </c>
      <c r="F268" s="178">
        <v>3.4930100000000004</v>
      </c>
      <c r="G268" s="178">
        <v>3.4940760000000002</v>
      </c>
      <c r="H268" s="178">
        <v>3.507314</v>
      </c>
      <c r="I268" s="178">
        <v>3.5754360000000003</v>
      </c>
      <c r="J268" s="178">
        <v>3.6652080000000002</v>
      </c>
      <c r="K268" s="178">
        <v>3.6850339999999999</v>
      </c>
      <c r="L268" s="178">
        <v>3.5258919999999998</v>
      </c>
      <c r="M268" s="178">
        <v>3.5424660000000001</v>
      </c>
      <c r="N268" s="178">
        <v>3.5830139999999999</v>
      </c>
      <c r="O268" s="178">
        <v>3.5700379999999998</v>
      </c>
      <c r="P268" s="178">
        <v>3.5508980000000001</v>
      </c>
      <c r="Q268" s="178">
        <v>3.5639319999999999</v>
      </c>
      <c r="R268">
        <f t="shared" si="4"/>
        <v>3.5334202499999994</v>
      </c>
    </row>
    <row r="269" spans="1:18" x14ac:dyDescent="0.25">
      <c r="A269" s="179" t="s">
        <v>548</v>
      </c>
      <c r="B269" s="178">
        <v>3.605308</v>
      </c>
      <c r="C269" s="178">
        <v>3.6475120000000003</v>
      </c>
      <c r="D269" s="178">
        <v>3.6150039999999999</v>
      </c>
      <c r="E269" s="178">
        <v>3.6531020000000001</v>
      </c>
      <c r="F269" s="178">
        <v>3.6702360000000001</v>
      </c>
      <c r="G269" s="178">
        <v>3.6686920000000001</v>
      </c>
      <c r="H269" s="178">
        <v>3.6830659999999997</v>
      </c>
      <c r="I269" s="178">
        <v>3.76091</v>
      </c>
      <c r="J269" s="178">
        <v>3.8405960000000001</v>
      </c>
      <c r="K269" s="178">
        <v>3.8602080000000001</v>
      </c>
      <c r="L269" s="178">
        <v>3.7027679999999998</v>
      </c>
      <c r="M269" s="178">
        <v>3.7191640000000001</v>
      </c>
      <c r="N269" s="178">
        <v>3.7592779999999997</v>
      </c>
      <c r="O269" s="178">
        <v>3.7464400000000002</v>
      </c>
      <c r="P269" s="178">
        <v>3.7249099999999999</v>
      </c>
      <c r="Q269" s="178">
        <v>3.7390839999999996</v>
      </c>
      <c r="R269">
        <f t="shared" si="4"/>
        <v>3.7122673749999997</v>
      </c>
    </row>
    <row r="270" spans="1:18" x14ac:dyDescent="0.25">
      <c r="A270" s="179" t="s">
        <v>549</v>
      </c>
      <c r="B270" s="178">
        <v>3.5042579999999997</v>
      </c>
      <c r="C270" s="178">
        <v>3.5398200000000002</v>
      </c>
      <c r="D270" s="178">
        <v>3.5104199999999999</v>
      </c>
      <c r="E270" s="178">
        <v>3.5447730000000002</v>
      </c>
      <c r="F270" s="178">
        <v>3.5600779999999999</v>
      </c>
      <c r="G270" s="178">
        <v>3.5572699999999999</v>
      </c>
      <c r="H270" s="178">
        <v>3.5712679999999999</v>
      </c>
      <c r="I270" s="178">
        <v>3.6550500000000001</v>
      </c>
      <c r="J270" s="178">
        <v>3.7289530000000002</v>
      </c>
      <c r="K270" s="178">
        <v>3.7483980000000003</v>
      </c>
      <c r="L270" s="178">
        <v>3.5923249999999998</v>
      </c>
      <c r="M270" s="178">
        <v>3.6085799999999999</v>
      </c>
      <c r="N270" s="178">
        <v>3.6483479999999999</v>
      </c>
      <c r="O270" s="178">
        <v>3.6356199999999999</v>
      </c>
      <c r="P270" s="178">
        <v>3.6129980000000002</v>
      </c>
      <c r="Q270" s="178">
        <v>3.626795</v>
      </c>
      <c r="R270">
        <f t="shared" si="4"/>
        <v>3.6028096250000003</v>
      </c>
    </row>
    <row r="271" spans="1:18" x14ac:dyDescent="0.25">
      <c r="A271" s="179" t="s">
        <v>550</v>
      </c>
      <c r="B271" s="184">
        <v>3.4839879999999996</v>
      </c>
      <c r="C271" s="184">
        <v>3.4952199999999998</v>
      </c>
      <c r="D271" s="184">
        <v>3.483943</v>
      </c>
      <c r="E271" s="184">
        <v>3.499088</v>
      </c>
      <c r="F271" s="184">
        <v>3.5059580000000001</v>
      </c>
      <c r="G271" s="184">
        <v>3.50745</v>
      </c>
      <c r="H271" s="184">
        <v>3.5133330000000003</v>
      </c>
      <c r="I271" s="184">
        <v>3.6304029999999998</v>
      </c>
      <c r="J271" s="184">
        <v>3.676968</v>
      </c>
      <c r="K271" s="184">
        <v>3.6966550000000002</v>
      </c>
      <c r="L271" s="184">
        <v>3.5386129999999998</v>
      </c>
      <c r="M271" s="184">
        <v>3.5550729999999997</v>
      </c>
      <c r="N271" s="184">
        <v>3.5953380000000004</v>
      </c>
      <c r="O271" s="184">
        <v>3.5824549999999999</v>
      </c>
      <c r="P271" s="184">
        <v>3.5638800000000002</v>
      </c>
      <c r="Q271" s="184">
        <v>3.569563</v>
      </c>
      <c r="R271">
        <f>SUM(B271:Q271)/COUNT(B271:Q271)</f>
        <v>3.5561205</v>
      </c>
    </row>
    <row r="272" spans="1:18" x14ac:dyDescent="0.25">
      <c r="A272" s="179" t="s">
        <v>551</v>
      </c>
      <c r="B272" s="184">
        <v>3.6611660000000001</v>
      </c>
      <c r="C272" s="184">
        <v>3.680714</v>
      </c>
      <c r="D272" s="184">
        <v>3.6466699999999999</v>
      </c>
      <c r="E272" s="184">
        <v>3.6846220000000001</v>
      </c>
      <c r="F272" s="184">
        <v>3.6840900000000003</v>
      </c>
      <c r="G272" s="184">
        <v>3.7044479999999997</v>
      </c>
      <c r="H272" s="184">
        <v>3.6915239999999998</v>
      </c>
      <c r="I272" s="184">
        <v>3.7924859999999998</v>
      </c>
      <c r="J272" s="184">
        <v>3.8543479999999999</v>
      </c>
      <c r="K272" s="184">
        <v>3.8739499999999998</v>
      </c>
      <c r="L272" s="184">
        <v>3.716602</v>
      </c>
      <c r="M272" s="184">
        <v>3.7329879999999998</v>
      </c>
      <c r="N272" s="184">
        <v>3.7730799999999998</v>
      </c>
      <c r="O272" s="184">
        <v>3.7602519999999999</v>
      </c>
      <c r="P272" s="184">
        <v>3.7606320000000002</v>
      </c>
      <c r="Q272" s="184">
        <v>3.747506</v>
      </c>
      <c r="R272">
        <f t="shared" ref="R272:R326" si="5">SUM(B272:Q272)/COUNT(B272:Q272)</f>
        <v>3.7353173750000006</v>
      </c>
    </row>
    <row r="273" spans="1:18" x14ac:dyDescent="0.25">
      <c r="A273" s="179" t="s">
        <v>552</v>
      </c>
      <c r="B273" s="184">
        <v>3.7555929999999997</v>
      </c>
      <c r="C273" s="184">
        <v>3.774143</v>
      </c>
      <c r="D273" s="184">
        <v>3.7403249999999999</v>
      </c>
      <c r="E273" s="184">
        <v>3.778</v>
      </c>
      <c r="F273" s="184">
        <v>3.777355</v>
      </c>
      <c r="G273" s="184">
        <v>3.7976199999999998</v>
      </c>
      <c r="H273" s="184">
        <v>3.784675</v>
      </c>
      <c r="I273" s="184">
        <v>3.8876300000000001</v>
      </c>
      <c r="J273" s="184">
        <v>3.9493480000000001</v>
      </c>
      <c r="K273" s="184">
        <v>3.9691480000000001</v>
      </c>
      <c r="L273" s="184">
        <v>3.8102</v>
      </c>
      <c r="M273" s="184">
        <v>3.8267530000000001</v>
      </c>
      <c r="N273" s="184">
        <v>3.8672499999999999</v>
      </c>
      <c r="O273" s="184">
        <v>3.8542899999999998</v>
      </c>
      <c r="P273" s="184">
        <v>3.8543750000000001</v>
      </c>
      <c r="Q273" s="184">
        <v>3.8412280000000001</v>
      </c>
      <c r="R273">
        <f t="shared" si="5"/>
        <v>3.8292458125</v>
      </c>
    </row>
    <row r="274" spans="1:18" x14ac:dyDescent="0.25">
      <c r="A274" s="179" t="s">
        <v>553</v>
      </c>
      <c r="B274" s="184">
        <v>3.7873939999999999</v>
      </c>
      <c r="C274" s="184">
        <v>3.8045880000000003</v>
      </c>
      <c r="D274" s="184">
        <v>3.7712119999999998</v>
      </c>
      <c r="E274" s="184">
        <v>3.8086759999999997</v>
      </c>
      <c r="F274" s="184">
        <v>3.8084579999999999</v>
      </c>
      <c r="G274" s="184">
        <v>3.8284600000000002</v>
      </c>
      <c r="H274" s="184">
        <v>3.81691</v>
      </c>
      <c r="I274" s="184">
        <v>3.9188879999999999</v>
      </c>
      <c r="J274" s="184">
        <v>3.9808859999999999</v>
      </c>
      <c r="K274" s="184">
        <v>4.0007380000000001</v>
      </c>
      <c r="L274" s="184">
        <v>3.8413819999999999</v>
      </c>
      <c r="M274" s="184">
        <v>3.8579819999999998</v>
      </c>
      <c r="N274" s="184">
        <v>3.8985819999999998</v>
      </c>
      <c r="O274" s="184">
        <v>3.8855900000000001</v>
      </c>
      <c r="P274" s="184">
        <v>3.8853580000000001</v>
      </c>
      <c r="Q274" s="184">
        <v>3.8736080000000004</v>
      </c>
      <c r="R274">
        <f t="shared" si="5"/>
        <v>3.8605445</v>
      </c>
    </row>
    <row r="275" spans="1:18" x14ac:dyDescent="0.25">
      <c r="A275" s="179" t="s">
        <v>554</v>
      </c>
      <c r="B275" s="184">
        <v>3.9249619999999998</v>
      </c>
      <c r="C275" s="184">
        <v>3.9431819999999997</v>
      </c>
      <c r="D275" s="184">
        <v>3.9094099999999998</v>
      </c>
      <c r="E275" s="184">
        <v>3.947136</v>
      </c>
      <c r="F275" s="184">
        <v>3.9466840000000003</v>
      </c>
      <c r="G275" s="184">
        <v>3.9669059999999998</v>
      </c>
      <c r="H275" s="184">
        <v>3.95444</v>
      </c>
      <c r="I275" s="184">
        <v>4.0571599999999997</v>
      </c>
      <c r="J275" s="184">
        <v>4.1191979999999999</v>
      </c>
      <c r="K275" s="184">
        <v>4.139062</v>
      </c>
      <c r="L275" s="184">
        <v>3.9796300000000002</v>
      </c>
      <c r="M275" s="184">
        <v>3.996232</v>
      </c>
      <c r="N275" s="184">
        <v>4.0368580000000005</v>
      </c>
      <c r="O275" s="184">
        <v>4.0238580000000006</v>
      </c>
      <c r="P275" s="184">
        <v>4.0238319999999996</v>
      </c>
      <c r="Q275" s="184">
        <v>4.0111660000000002</v>
      </c>
      <c r="R275">
        <f t="shared" si="5"/>
        <v>3.9987322500000007</v>
      </c>
    </row>
    <row r="276" spans="1:18" x14ac:dyDescent="0.25">
      <c r="A276" s="179" t="s">
        <v>555</v>
      </c>
      <c r="B276" s="184">
        <v>3.950536</v>
      </c>
      <c r="C276" s="184">
        <v>3.9702220000000001</v>
      </c>
      <c r="D276" s="184">
        <v>3.935746</v>
      </c>
      <c r="E276" s="184">
        <v>3.9741460000000002</v>
      </c>
      <c r="F276" s="184">
        <v>3.9736880000000001</v>
      </c>
      <c r="G276" s="184">
        <v>3.9942440000000001</v>
      </c>
      <c r="H276" s="184">
        <v>3.9810560000000002</v>
      </c>
      <c r="I276" s="184">
        <v>4.0843040000000004</v>
      </c>
      <c r="J276" s="184">
        <v>4.1471459999999993</v>
      </c>
      <c r="K276" s="184">
        <v>4.1671180000000003</v>
      </c>
      <c r="L276" s="184">
        <v>4.0068099999999998</v>
      </c>
      <c r="M276" s="184">
        <v>4.0235079999999996</v>
      </c>
      <c r="N276" s="184">
        <v>4.0643519999999995</v>
      </c>
      <c r="O276" s="184">
        <v>4.0512839999999999</v>
      </c>
      <c r="P276" s="184">
        <v>4.051482</v>
      </c>
      <c r="Q276" s="184">
        <v>4.0380919999999998</v>
      </c>
      <c r="R276">
        <f t="shared" si="5"/>
        <v>4.0258583750000003</v>
      </c>
    </row>
    <row r="277" spans="1:18" x14ac:dyDescent="0.25">
      <c r="A277" s="179" t="s">
        <v>556</v>
      </c>
      <c r="B277" s="184">
        <v>4.0616719999999997</v>
      </c>
      <c r="C277" s="184">
        <v>4.0865960000000001</v>
      </c>
      <c r="D277" s="184">
        <v>4.0499320000000001</v>
      </c>
      <c r="E277" s="184">
        <v>4.0907819999999999</v>
      </c>
      <c r="F277" s="184">
        <v>4.0910079999999995</v>
      </c>
      <c r="G277" s="184">
        <v>4.1125280000000002</v>
      </c>
      <c r="H277" s="184">
        <v>4.0986660000000006</v>
      </c>
      <c r="I277" s="184">
        <v>4.1982039999999996</v>
      </c>
      <c r="J277" s="184">
        <v>4.2641340000000003</v>
      </c>
      <c r="K277" s="184">
        <v>4.2840619999999996</v>
      </c>
      <c r="L277" s="184">
        <v>4.1240680000000003</v>
      </c>
      <c r="M277" s="184">
        <v>4.1407259999999999</v>
      </c>
      <c r="N277" s="184">
        <v>4.1814960000000001</v>
      </c>
      <c r="O277" s="184">
        <v>4.1684520000000003</v>
      </c>
      <c r="P277" s="184">
        <v>4.1696540000000004</v>
      </c>
      <c r="Q277" s="184">
        <v>4.1555919999999995</v>
      </c>
      <c r="R277">
        <f t="shared" si="5"/>
        <v>4.1423482500000004</v>
      </c>
    </row>
    <row r="278" spans="1:18" x14ac:dyDescent="0.25">
      <c r="A278" s="179" t="s">
        <v>557</v>
      </c>
      <c r="B278" s="184">
        <v>3.881583</v>
      </c>
      <c r="C278" s="184">
        <v>3.9090449999999999</v>
      </c>
      <c r="D278" s="184">
        <v>3.87134</v>
      </c>
      <c r="E278" s="184">
        <v>3.9133879999999999</v>
      </c>
      <c r="F278" s="184">
        <v>3.9139850000000003</v>
      </c>
      <c r="G278" s="184">
        <v>3.9359580000000003</v>
      </c>
      <c r="H278" s="184">
        <v>3.9218950000000001</v>
      </c>
      <c r="I278" s="184">
        <v>4.0192930000000002</v>
      </c>
      <c r="J278" s="184">
        <v>4.0867379999999995</v>
      </c>
      <c r="K278" s="184">
        <v>4.1066250000000002</v>
      </c>
      <c r="L278" s="184">
        <v>3.9469729999999998</v>
      </c>
      <c r="M278" s="184">
        <v>3.963603</v>
      </c>
      <c r="N278" s="184">
        <v>4.0042800000000005</v>
      </c>
      <c r="O278" s="184">
        <v>3.99126</v>
      </c>
      <c r="P278" s="184">
        <v>3.9929679999999999</v>
      </c>
      <c r="Q278" s="184">
        <v>3.9786980000000001</v>
      </c>
      <c r="R278">
        <f t="shared" si="5"/>
        <v>3.9648519999999996</v>
      </c>
    </row>
    <row r="279" spans="1:18" x14ac:dyDescent="0.25">
      <c r="A279" s="179" t="s">
        <v>558</v>
      </c>
      <c r="B279" s="184">
        <v>3.8041740000000002</v>
      </c>
      <c r="C279" s="184">
        <v>3.828052</v>
      </c>
      <c r="D279" s="184">
        <v>3.7918660000000002</v>
      </c>
      <c r="E279" s="184">
        <v>3.8320959999999999</v>
      </c>
      <c r="F279" s="184">
        <v>3.8319920000000001</v>
      </c>
      <c r="G279" s="184">
        <v>3.8533240000000002</v>
      </c>
      <c r="H279" s="184">
        <v>3.8392179999999998</v>
      </c>
      <c r="I279" s="184">
        <v>3.940118</v>
      </c>
      <c r="J279" s="184">
        <v>4.005096</v>
      </c>
      <c r="K279" s="184">
        <v>4.0250259999999995</v>
      </c>
      <c r="L279" s="184">
        <v>3.865046</v>
      </c>
      <c r="M279" s="184">
        <v>3.8817119999999998</v>
      </c>
      <c r="N279" s="184">
        <v>3.9224699999999997</v>
      </c>
      <c r="O279" s="184">
        <v>3.90943</v>
      </c>
      <c r="P279" s="184">
        <v>3.9104459999999999</v>
      </c>
      <c r="Q279" s="184">
        <v>3.896134</v>
      </c>
      <c r="R279">
        <f t="shared" si="5"/>
        <v>3.8835125000000001</v>
      </c>
    </row>
    <row r="280" spans="1:18" x14ac:dyDescent="0.25">
      <c r="A280" s="179" t="s">
        <v>559</v>
      </c>
      <c r="B280" s="184">
        <v>3.8139879999999997</v>
      </c>
      <c r="C280" s="184">
        <v>3.8512840000000002</v>
      </c>
      <c r="D280" s="184">
        <v>3.809396</v>
      </c>
      <c r="E280" s="184">
        <v>3.8560500000000002</v>
      </c>
      <c r="F280" s="184">
        <v>3.8577880000000002</v>
      </c>
      <c r="G280" s="184">
        <v>3.881624</v>
      </c>
      <c r="H280" s="184">
        <v>3.86592</v>
      </c>
      <c r="I280" s="184">
        <v>3.9573800000000001</v>
      </c>
      <c r="J280" s="184">
        <v>4.0305739999999997</v>
      </c>
      <c r="K280" s="184">
        <v>4.0504639999999998</v>
      </c>
      <c r="L280" s="184">
        <v>3.890784</v>
      </c>
      <c r="M280" s="184">
        <v>3.9074119999999999</v>
      </c>
      <c r="N280" s="184">
        <v>3.9480999999999997</v>
      </c>
      <c r="O280" s="184">
        <v>3.935082</v>
      </c>
      <c r="P280" s="184">
        <v>3.9386380000000001</v>
      </c>
      <c r="Q280" s="184">
        <v>3.9227319999999999</v>
      </c>
      <c r="R280">
        <f t="shared" si="5"/>
        <v>3.9073259999999994</v>
      </c>
    </row>
    <row r="281" spans="1:18" x14ac:dyDescent="0.25">
      <c r="A281" s="179" t="s">
        <v>560</v>
      </c>
      <c r="B281" s="184">
        <v>3.8917299999999999</v>
      </c>
      <c r="C281" s="184">
        <v>3.9306039999999998</v>
      </c>
      <c r="D281" s="184">
        <v>3.8879639999999998</v>
      </c>
      <c r="E281" s="184">
        <v>3.9353600000000002</v>
      </c>
      <c r="F281" s="184">
        <v>3.9371339999999999</v>
      </c>
      <c r="G281" s="184">
        <v>3.961328</v>
      </c>
      <c r="H281" s="184">
        <v>3.9449360000000002</v>
      </c>
      <c r="I281" s="184">
        <v>4.0367800000000003</v>
      </c>
      <c r="J281" s="184">
        <v>4.1108959999999994</v>
      </c>
      <c r="K281" s="184">
        <v>4.1308980000000002</v>
      </c>
      <c r="L281" s="184">
        <v>3.9703139999999997</v>
      </c>
      <c r="M281" s="184">
        <v>3.9870419999999998</v>
      </c>
      <c r="N281" s="184">
        <v>4.0279540000000003</v>
      </c>
      <c r="O281" s="184">
        <v>4.0148619999999999</v>
      </c>
      <c r="P281" s="184">
        <v>4.0186679999999999</v>
      </c>
      <c r="Q281" s="184">
        <v>4.0020740000000004</v>
      </c>
      <c r="R281">
        <f t="shared" si="5"/>
        <v>3.9867840000000001</v>
      </c>
    </row>
    <row r="282" spans="1:18" x14ac:dyDescent="0.25">
      <c r="A282" s="179" t="s">
        <v>561</v>
      </c>
      <c r="B282" s="184">
        <v>3.9348780000000003</v>
      </c>
      <c r="C282" s="184">
        <v>3.9671280000000002</v>
      </c>
      <c r="D282" s="184">
        <v>3.927222</v>
      </c>
      <c r="E282" s="184">
        <v>3.9716019999999999</v>
      </c>
      <c r="F282" s="184">
        <v>3.9726219999999999</v>
      </c>
      <c r="G282" s="184">
        <v>3.9955979999999998</v>
      </c>
      <c r="H282" s="184">
        <v>3.9802659999999999</v>
      </c>
      <c r="I282" s="184">
        <v>4.076606</v>
      </c>
      <c r="J282" s="184">
        <v>4.1470479999999998</v>
      </c>
      <c r="K282" s="184">
        <v>4.1671319999999996</v>
      </c>
      <c r="L282" s="184">
        <v>4.0059300000000002</v>
      </c>
      <c r="M282" s="184">
        <v>4.0227180000000002</v>
      </c>
      <c r="N282" s="184">
        <v>4.0637920000000003</v>
      </c>
      <c r="O282" s="184">
        <v>4.0506500000000001</v>
      </c>
      <c r="P282" s="184">
        <v>4.0531559999999995</v>
      </c>
      <c r="Q282" s="184">
        <v>4.0376199999999995</v>
      </c>
      <c r="R282">
        <f t="shared" si="5"/>
        <v>4.0233730000000003</v>
      </c>
    </row>
    <row r="283" spans="1:18" x14ac:dyDescent="0.25">
      <c r="A283" s="179" t="s">
        <v>562</v>
      </c>
      <c r="B283" s="184">
        <v>3.8327</v>
      </c>
      <c r="C283" s="184">
        <v>3.8750230000000001</v>
      </c>
      <c r="D283" s="184">
        <v>3.8306280000000004</v>
      </c>
      <c r="E283" s="184">
        <v>3.8808499999999997</v>
      </c>
      <c r="F283" s="184">
        <v>3.8848600000000002</v>
      </c>
      <c r="G283" s="184">
        <v>3.9096229999999998</v>
      </c>
      <c r="H283" s="184">
        <v>3.8965000000000001</v>
      </c>
      <c r="I283" s="184">
        <v>3.9795949999999998</v>
      </c>
      <c r="J283" s="184">
        <v>4.0587949999999999</v>
      </c>
      <c r="K283" s="184">
        <v>4.0788200000000003</v>
      </c>
      <c r="L283" s="184">
        <v>3.9180729999999997</v>
      </c>
      <c r="M283" s="184">
        <v>3.934815</v>
      </c>
      <c r="N283" s="184">
        <v>3.9757699999999998</v>
      </c>
      <c r="O283" s="184">
        <v>3.9626680000000003</v>
      </c>
      <c r="P283" s="184">
        <v>3.9670199999999998</v>
      </c>
      <c r="Q283" s="184">
        <v>3.9536930000000003</v>
      </c>
      <c r="R283">
        <f t="shared" si="5"/>
        <v>3.9337145624999996</v>
      </c>
    </row>
    <row r="284" spans="1:18" x14ac:dyDescent="0.25">
      <c r="A284" s="179" t="s">
        <v>563</v>
      </c>
      <c r="B284" s="184">
        <v>4.0188220000000001</v>
      </c>
      <c r="C284" s="184">
        <v>4.0585439999999995</v>
      </c>
      <c r="D284" s="184">
        <v>4.0150120000000005</v>
      </c>
      <c r="E284" s="184">
        <v>4.064228</v>
      </c>
      <c r="F284" s="184">
        <v>4.0678999999999998</v>
      </c>
      <c r="G284" s="184">
        <v>4.0922919999999996</v>
      </c>
      <c r="H284" s="184">
        <v>4.0792719999999996</v>
      </c>
      <c r="I284" s="184">
        <v>4.1658879999999998</v>
      </c>
      <c r="J284" s="184">
        <v>4.2440660000000001</v>
      </c>
      <c r="K284" s="184">
        <v>4.2643459999999997</v>
      </c>
      <c r="L284" s="184">
        <v>4.10154</v>
      </c>
      <c r="M284" s="184">
        <v>4.1184960000000004</v>
      </c>
      <c r="N284" s="184">
        <v>4.1599759999999995</v>
      </c>
      <c r="O284" s="184">
        <v>4.1467039999999997</v>
      </c>
      <c r="P284" s="184">
        <v>4.1504219999999998</v>
      </c>
      <c r="Q284" s="184">
        <v>4.1371960000000003</v>
      </c>
      <c r="R284">
        <f t="shared" si="5"/>
        <v>4.117794</v>
      </c>
    </row>
    <row r="285" spans="1:18" x14ac:dyDescent="0.25">
      <c r="A285" s="179" t="s">
        <v>564</v>
      </c>
      <c r="B285" s="184">
        <v>4.0532440000000003</v>
      </c>
      <c r="C285" s="184">
        <v>4.0877620000000006</v>
      </c>
      <c r="D285" s="184">
        <v>4.0464880000000001</v>
      </c>
      <c r="E285" s="184">
        <v>4.092848</v>
      </c>
      <c r="F285" s="184">
        <v>4.0951659999999999</v>
      </c>
      <c r="G285" s="184">
        <v>4.1186400000000001</v>
      </c>
      <c r="H285" s="184">
        <v>4.1048559999999998</v>
      </c>
      <c r="I285" s="184">
        <v>4.1978059999999999</v>
      </c>
      <c r="J285" s="184">
        <v>4.2718480000000003</v>
      </c>
      <c r="K285" s="184">
        <v>4.2921880000000003</v>
      </c>
      <c r="L285" s="184">
        <v>4.1289059999999997</v>
      </c>
      <c r="M285" s="184">
        <v>4.1459099999999998</v>
      </c>
      <c r="N285" s="184">
        <v>4.1875140000000002</v>
      </c>
      <c r="O285" s="184">
        <v>4.1741999999999999</v>
      </c>
      <c r="P285" s="184">
        <v>4.1769440000000007</v>
      </c>
      <c r="Q285" s="184">
        <v>4.1629499999999995</v>
      </c>
      <c r="R285">
        <f t="shared" si="5"/>
        <v>4.1460793750000002</v>
      </c>
    </row>
    <row r="286" spans="1:18" x14ac:dyDescent="0.25">
      <c r="A286" s="179" t="s">
        <v>565</v>
      </c>
      <c r="B286" s="184">
        <v>4.0226300000000004</v>
      </c>
      <c r="C286" s="184">
        <v>4.0478399999999999</v>
      </c>
      <c r="D286" s="184">
        <v>4.0100379999999998</v>
      </c>
      <c r="E286" s="184">
        <v>4.0520560000000003</v>
      </c>
      <c r="F286" s="184">
        <v>4.0524079999999998</v>
      </c>
      <c r="G286" s="184">
        <v>4.0744600000000002</v>
      </c>
      <c r="H286" s="184">
        <v>4.0597399999999997</v>
      </c>
      <c r="I286" s="184">
        <v>4.166112</v>
      </c>
      <c r="J286" s="184">
        <v>4.2346440000000003</v>
      </c>
      <c r="K286" s="184">
        <v>4.2556220000000007</v>
      </c>
      <c r="L286" s="184">
        <v>4.0872060000000001</v>
      </c>
      <c r="M286" s="184">
        <v>4.1047479999999998</v>
      </c>
      <c r="N286" s="184">
        <v>4.1476580000000007</v>
      </c>
      <c r="O286" s="184">
        <v>4.1339260000000007</v>
      </c>
      <c r="P286" s="184">
        <v>4.1345959999999993</v>
      </c>
      <c r="Q286" s="184">
        <v>4.1196599999999997</v>
      </c>
      <c r="R286">
        <f t="shared" si="5"/>
        <v>4.106459000000001</v>
      </c>
    </row>
    <row r="287" spans="1:18" x14ac:dyDescent="0.25">
      <c r="A287" s="179" t="s">
        <v>566</v>
      </c>
      <c r="B287" s="184">
        <v>3.808284</v>
      </c>
      <c r="C287" s="184">
        <v>3.8260559999999999</v>
      </c>
      <c r="D287" s="184">
        <v>3.7918020000000001</v>
      </c>
      <c r="E287" s="184">
        <v>3.8296199999999998</v>
      </c>
      <c r="F287" s="184">
        <v>3.8284380000000002</v>
      </c>
      <c r="G287" s="184">
        <v>3.848976</v>
      </c>
      <c r="H287" s="184">
        <v>3.8343799999999999</v>
      </c>
      <c r="I287" s="184">
        <v>3.9455300000000002</v>
      </c>
      <c r="J287" s="184">
        <v>4.0079319999999994</v>
      </c>
      <c r="K287" s="184">
        <v>4.0286</v>
      </c>
      <c r="L287" s="184">
        <v>3.8627120000000001</v>
      </c>
      <c r="M287" s="184">
        <v>3.8799899999999998</v>
      </c>
      <c r="N287" s="184">
        <v>3.922256</v>
      </c>
      <c r="O287" s="184">
        <v>3.9087320000000001</v>
      </c>
      <c r="P287" s="184">
        <v>3.9082060000000003</v>
      </c>
      <c r="Q287" s="184">
        <v>3.8934000000000002</v>
      </c>
      <c r="R287">
        <f t="shared" si="5"/>
        <v>3.8828071249999998</v>
      </c>
    </row>
    <row r="288" spans="1:18" x14ac:dyDescent="0.25">
      <c r="A288" s="179" t="s">
        <v>567</v>
      </c>
      <c r="B288" s="184">
        <v>3.716926</v>
      </c>
      <c r="C288" s="184">
        <v>3.7343820000000001</v>
      </c>
      <c r="D288" s="184">
        <v>3.7003359999999996</v>
      </c>
      <c r="E288" s="184">
        <v>3.737854</v>
      </c>
      <c r="F288" s="184">
        <v>3.736472</v>
      </c>
      <c r="G288" s="184">
        <v>3.7569360000000001</v>
      </c>
      <c r="H288" s="184">
        <v>3.742092</v>
      </c>
      <c r="I288" s="184">
        <v>3.8537199999999996</v>
      </c>
      <c r="J288" s="184">
        <v>3.9155659999999997</v>
      </c>
      <c r="K288" s="184">
        <v>3.9361860000000002</v>
      </c>
      <c r="L288" s="184">
        <v>3.7706680000000001</v>
      </c>
      <c r="M288" s="184">
        <v>3.7879099999999997</v>
      </c>
      <c r="N288" s="184">
        <v>3.8300799999999997</v>
      </c>
      <c r="O288" s="184">
        <v>3.8165859999999996</v>
      </c>
      <c r="P288" s="184">
        <v>3.8160340000000001</v>
      </c>
      <c r="Q288" s="184">
        <v>3.8009819999999999</v>
      </c>
      <c r="R288">
        <f t="shared" si="5"/>
        <v>3.7907956249999999</v>
      </c>
    </row>
    <row r="289" spans="1:18" x14ac:dyDescent="0.25">
      <c r="A289" s="179" t="s">
        <v>568</v>
      </c>
      <c r="B289" s="184">
        <v>3.672174</v>
      </c>
      <c r="C289" s="184">
        <v>3.6975320000000003</v>
      </c>
      <c r="D289" s="184">
        <v>3.6601120000000003</v>
      </c>
      <c r="E289" s="184">
        <v>3.7018059999999999</v>
      </c>
      <c r="F289" s="184">
        <v>3.702242</v>
      </c>
      <c r="G289" s="184">
        <v>3.7241</v>
      </c>
      <c r="H289" s="184">
        <v>3.7099600000000001</v>
      </c>
      <c r="I289" s="184">
        <v>3.8126840000000004</v>
      </c>
      <c r="J289" s="184">
        <v>3.8803879999999999</v>
      </c>
      <c r="K289" s="184">
        <v>3.9008960000000004</v>
      </c>
      <c r="L289" s="184">
        <v>3.7362600000000001</v>
      </c>
      <c r="M289" s="184">
        <v>3.7534079999999999</v>
      </c>
      <c r="N289" s="184">
        <v>3.7953539999999997</v>
      </c>
      <c r="O289" s="184">
        <v>3.7819319999999998</v>
      </c>
      <c r="P289" s="184">
        <v>3.782886</v>
      </c>
      <c r="Q289" s="184">
        <v>3.7685360000000001</v>
      </c>
      <c r="R289">
        <f t="shared" si="5"/>
        <v>3.7550168749999995</v>
      </c>
    </row>
    <row r="290" spans="1:18" x14ac:dyDescent="0.25">
      <c r="A290" s="179" t="s">
        <v>569</v>
      </c>
      <c r="B290" s="184">
        <v>3.613696</v>
      </c>
      <c r="C290" s="184">
        <v>3.6317080000000002</v>
      </c>
      <c r="D290" s="184">
        <v>3.5974020000000002</v>
      </c>
      <c r="E290" s="184">
        <v>3.635284</v>
      </c>
      <c r="F290" s="184">
        <v>3.6341320000000001</v>
      </c>
      <c r="G290" s="184">
        <v>3.65469</v>
      </c>
      <c r="H290" s="184">
        <v>3.6401060000000003</v>
      </c>
      <c r="I290" s="184">
        <v>3.750734</v>
      </c>
      <c r="J290" s="184">
        <v>3.8131619999999997</v>
      </c>
      <c r="K290" s="184">
        <v>3.8337759999999999</v>
      </c>
      <c r="L290" s="184">
        <v>3.66832</v>
      </c>
      <c r="M290" s="184">
        <v>3.6855500000000001</v>
      </c>
      <c r="N290" s="184">
        <v>3.7277080000000002</v>
      </c>
      <c r="O290" s="184">
        <v>3.7142179999999998</v>
      </c>
      <c r="P290" s="184">
        <v>3.713768</v>
      </c>
      <c r="Q290" s="184">
        <v>3.6989720000000004</v>
      </c>
      <c r="R290">
        <f t="shared" si="5"/>
        <v>3.6883266250000002</v>
      </c>
    </row>
    <row r="291" spans="1:18" x14ac:dyDescent="0.25">
      <c r="A291" s="179" t="s">
        <v>570</v>
      </c>
      <c r="B291" s="184">
        <v>3.6570320000000001</v>
      </c>
      <c r="C291" s="184">
        <v>3.6740819999999998</v>
      </c>
      <c r="D291" s="184">
        <v>3.6401179999999997</v>
      </c>
      <c r="E291" s="184">
        <v>3.6777440000000001</v>
      </c>
      <c r="F291" s="184">
        <v>3.6767240000000001</v>
      </c>
      <c r="G291" s="184">
        <v>3.6971039999999999</v>
      </c>
      <c r="H291" s="184">
        <v>3.68316</v>
      </c>
      <c r="I291" s="184">
        <v>3.7937120000000002</v>
      </c>
      <c r="J291" s="184">
        <v>3.8560599999999998</v>
      </c>
      <c r="K291" s="184">
        <v>3.8767100000000001</v>
      </c>
      <c r="L291" s="184">
        <v>3.7109679999999998</v>
      </c>
      <c r="M291" s="184">
        <v>3.7282299999999999</v>
      </c>
      <c r="N291" s="184">
        <v>3.7704599999999999</v>
      </c>
      <c r="O291" s="184">
        <v>3.756948</v>
      </c>
      <c r="P291" s="184">
        <v>3.7562820000000001</v>
      </c>
      <c r="Q291" s="184">
        <v>3.7421320000000002</v>
      </c>
      <c r="R291">
        <f t="shared" si="5"/>
        <v>3.7310916249999999</v>
      </c>
    </row>
    <row r="292" spans="1:18" x14ac:dyDescent="0.25">
      <c r="A292" s="179" t="s">
        <v>571</v>
      </c>
      <c r="B292" s="184">
        <v>3.7208030000000001</v>
      </c>
      <c r="C292" s="184">
        <v>3.7607150000000003</v>
      </c>
      <c r="D292" s="184">
        <v>3.7162550000000003</v>
      </c>
      <c r="E292" s="184">
        <v>3.76729</v>
      </c>
      <c r="F292" s="184">
        <v>3.7727779999999997</v>
      </c>
      <c r="G292" s="184">
        <v>3.7973949999999999</v>
      </c>
      <c r="H292" s="184">
        <v>3.7875329999999998</v>
      </c>
      <c r="I292" s="184">
        <v>3.871705</v>
      </c>
      <c r="J292" s="184">
        <v>3.954288</v>
      </c>
      <c r="K292" s="184">
        <v>3.9751849999999997</v>
      </c>
      <c r="L292" s="184">
        <v>3.8074349999999999</v>
      </c>
      <c r="M292" s="184">
        <v>3.82491</v>
      </c>
      <c r="N292" s="184">
        <v>3.8676500000000003</v>
      </c>
      <c r="O292" s="184">
        <v>3.8539729999999999</v>
      </c>
      <c r="P292" s="184">
        <v>3.8572899999999999</v>
      </c>
      <c r="Q292" s="184">
        <v>3.8472150000000003</v>
      </c>
      <c r="R292">
        <f t="shared" si="5"/>
        <v>3.8239012499999996</v>
      </c>
    </row>
    <row r="293" spans="1:18" x14ac:dyDescent="0.25">
      <c r="A293" s="179" t="s">
        <v>572</v>
      </c>
      <c r="B293" s="184">
        <v>3.6346039999999999</v>
      </c>
      <c r="C293" s="184">
        <v>3.6773639999999999</v>
      </c>
      <c r="D293" s="184">
        <v>3.6313819999999999</v>
      </c>
      <c r="E293" s="184">
        <v>3.6842239999999999</v>
      </c>
      <c r="F293" s="184">
        <v>3.6903899999999998</v>
      </c>
      <c r="G293" s="184">
        <v>3.7156560000000001</v>
      </c>
      <c r="H293" s="184">
        <v>3.7057820000000001</v>
      </c>
      <c r="I293" s="184">
        <v>3.7888539999999997</v>
      </c>
      <c r="J293" s="184">
        <v>3.8742579999999998</v>
      </c>
      <c r="K293" s="184">
        <v>3.8954260000000001</v>
      </c>
      <c r="L293" s="184">
        <v>3.7254999999999998</v>
      </c>
      <c r="M293" s="184">
        <v>3.743198</v>
      </c>
      <c r="N293" s="184">
        <v>3.786492</v>
      </c>
      <c r="O293" s="184">
        <v>3.77264</v>
      </c>
      <c r="P293" s="184">
        <v>3.7763299999999997</v>
      </c>
      <c r="Q293" s="184">
        <v>3.7662399999999998</v>
      </c>
      <c r="R293">
        <f t="shared" si="5"/>
        <v>3.7417712500000002</v>
      </c>
    </row>
    <row r="294" spans="1:18" x14ac:dyDescent="0.25">
      <c r="A294" s="179" t="s">
        <v>573</v>
      </c>
      <c r="B294" s="184">
        <v>3.7789220000000001</v>
      </c>
      <c r="C294" s="184">
        <v>3.7987319999999998</v>
      </c>
      <c r="D294" s="184">
        <v>3.762508</v>
      </c>
      <c r="E294" s="184">
        <v>3.8032179999999998</v>
      </c>
      <c r="F294" s="184">
        <v>3.803992</v>
      </c>
      <c r="G294" s="184">
        <v>3.8252359999999999</v>
      </c>
      <c r="H294" s="184">
        <v>3.8130540000000002</v>
      </c>
      <c r="I294" s="184">
        <v>3.9228960000000002</v>
      </c>
      <c r="J294" s="184">
        <v>3.9912620000000003</v>
      </c>
      <c r="K294" s="184">
        <v>4.0128219999999999</v>
      </c>
      <c r="L294" s="184">
        <v>3.83975</v>
      </c>
      <c r="M294" s="184">
        <v>3.8577779999999997</v>
      </c>
      <c r="N294" s="184">
        <v>3.901872</v>
      </c>
      <c r="O294" s="184">
        <v>3.8877600000000001</v>
      </c>
      <c r="P294" s="184">
        <v>3.887032</v>
      </c>
      <c r="Q294" s="184">
        <v>3.8746339999999999</v>
      </c>
      <c r="R294">
        <f t="shared" si="5"/>
        <v>3.86009175</v>
      </c>
    </row>
    <row r="295" spans="1:18" x14ac:dyDescent="0.25">
      <c r="A295" s="179" t="s">
        <v>574</v>
      </c>
      <c r="B295" s="184">
        <v>4.020378</v>
      </c>
      <c r="C295" s="184">
        <v>4.0605200000000004</v>
      </c>
      <c r="D295" s="184">
        <v>4.0151750000000002</v>
      </c>
      <c r="E295" s="184">
        <v>4.0667200000000001</v>
      </c>
      <c r="F295" s="184">
        <v>4.0715450000000004</v>
      </c>
      <c r="G295" s="184">
        <v>4.0966649999999998</v>
      </c>
      <c r="H295" s="184">
        <v>4.0844100000000001</v>
      </c>
      <c r="I295" s="184">
        <v>4.1774430000000002</v>
      </c>
      <c r="J295" s="184">
        <v>4.2610049999999999</v>
      </c>
      <c r="K295" s="184">
        <v>4.2828179999999998</v>
      </c>
      <c r="L295" s="184">
        <v>4.107723</v>
      </c>
      <c r="M295" s="184">
        <v>4.1259579999999998</v>
      </c>
      <c r="N295" s="184">
        <v>4.1705699999999997</v>
      </c>
      <c r="O295" s="184">
        <v>4.1562950000000001</v>
      </c>
      <c r="P295" s="184">
        <v>4.1591829999999996</v>
      </c>
      <c r="Q295" s="184">
        <v>4.1467079999999994</v>
      </c>
      <c r="R295">
        <f t="shared" si="5"/>
        <v>4.1251947499999995</v>
      </c>
    </row>
    <row r="296" spans="1:18" x14ac:dyDescent="0.25">
      <c r="A296" s="179" t="s">
        <v>575</v>
      </c>
      <c r="B296" s="184">
        <v>4.09884</v>
      </c>
      <c r="C296" s="184">
        <v>4.1474320000000002</v>
      </c>
      <c r="D296" s="184">
        <v>4.098204</v>
      </c>
      <c r="E296" s="184">
        <v>4.1542640000000004</v>
      </c>
      <c r="F296" s="184">
        <v>4.1606059999999996</v>
      </c>
      <c r="G296" s="184">
        <v>4.1873999999999993</v>
      </c>
      <c r="H296" s="184">
        <v>4.174658</v>
      </c>
      <c r="I296" s="184">
        <v>4.2622740000000006</v>
      </c>
      <c r="J296" s="184">
        <v>4.3521800000000006</v>
      </c>
      <c r="K296" s="184">
        <v>4.3742380000000001</v>
      </c>
      <c r="L296" s="184">
        <v>4.1971879999999997</v>
      </c>
      <c r="M296" s="184">
        <v>4.2156279999999997</v>
      </c>
      <c r="N296" s="184">
        <v>4.2607379999999999</v>
      </c>
      <c r="O296" s="184">
        <v>4.2463059999999997</v>
      </c>
      <c r="P296" s="184">
        <v>4.2506180000000002</v>
      </c>
      <c r="Q296" s="184">
        <v>4.2376499999999995</v>
      </c>
      <c r="R296">
        <f t="shared" si="5"/>
        <v>4.2136389999999997</v>
      </c>
    </row>
    <row r="297" spans="1:18" x14ac:dyDescent="0.25">
      <c r="A297" s="179" t="s">
        <v>576</v>
      </c>
      <c r="B297" s="184">
        <v>4.2742070000000005</v>
      </c>
      <c r="C297" s="184">
        <v>4.3157299999999994</v>
      </c>
      <c r="D297" s="184">
        <v>4.2691099999999995</v>
      </c>
      <c r="E297" s="184">
        <v>4.3217229999999995</v>
      </c>
      <c r="F297" s="184">
        <v>4.3262299999999998</v>
      </c>
      <c r="G297" s="184">
        <v>4.3520000000000003</v>
      </c>
      <c r="H297" s="184">
        <v>4.3377499999999998</v>
      </c>
      <c r="I297" s="184">
        <v>4.4373630000000004</v>
      </c>
      <c r="J297" s="184">
        <v>4.5226899999999999</v>
      </c>
      <c r="K297" s="184">
        <v>4.5453070000000002</v>
      </c>
      <c r="L297" s="184">
        <v>4.363747</v>
      </c>
      <c r="M297" s="184">
        <v>4.3826530000000004</v>
      </c>
      <c r="N297" s="184">
        <v>4.4289170000000002</v>
      </c>
      <c r="O297" s="184">
        <v>4.4141130000000004</v>
      </c>
      <c r="P297" s="184">
        <v>4.4168270000000005</v>
      </c>
      <c r="Q297" s="184">
        <v>4.4023469999999998</v>
      </c>
      <c r="R297">
        <f t="shared" si="5"/>
        <v>4.3819196250000001</v>
      </c>
    </row>
    <row r="298" spans="1:18" x14ac:dyDescent="0.25">
      <c r="A298" s="179" t="s">
        <v>577</v>
      </c>
      <c r="B298" s="184">
        <v>4.0220339999999997</v>
      </c>
      <c r="C298" s="184">
        <v>4.0463620000000002</v>
      </c>
      <c r="D298" s="184">
        <v>4.0079159999999998</v>
      </c>
      <c r="E298" s="184">
        <v>4.0512040000000002</v>
      </c>
      <c r="F298" s="184">
        <v>4.0528339999999998</v>
      </c>
      <c r="G298" s="184">
        <v>4.0750440000000001</v>
      </c>
      <c r="H298" s="184">
        <v>4.0625520000000002</v>
      </c>
      <c r="I298" s="184">
        <v>4.1702940000000002</v>
      </c>
      <c r="J298" s="184">
        <v>4.242432</v>
      </c>
      <c r="K298" s="184">
        <v>4.2642600000000002</v>
      </c>
      <c r="L298" s="184">
        <v>4.0890380000000004</v>
      </c>
      <c r="M298" s="184">
        <v>4.1072879999999996</v>
      </c>
      <c r="N298" s="184">
        <v>4.1519319999999995</v>
      </c>
      <c r="O298" s="184">
        <v>4.1376480000000004</v>
      </c>
      <c r="P298" s="184">
        <v>4.1376059999999999</v>
      </c>
      <c r="Q298" s="184">
        <v>4.1248940000000003</v>
      </c>
      <c r="R298">
        <f t="shared" si="5"/>
        <v>4.1089586250000005</v>
      </c>
    </row>
    <row r="299" spans="1:18" x14ac:dyDescent="0.25">
      <c r="A299" s="179" t="s">
        <v>578</v>
      </c>
      <c r="B299" s="184">
        <v>4.0090880000000002</v>
      </c>
      <c r="C299" s="184">
        <v>4.0449960000000003</v>
      </c>
      <c r="D299" s="184">
        <v>4.0012439999999998</v>
      </c>
      <c r="E299" s="184">
        <v>4.0507979999999995</v>
      </c>
      <c r="F299" s="184">
        <v>4.0547079999999998</v>
      </c>
      <c r="G299" s="184">
        <v>4.0791779999999997</v>
      </c>
      <c r="H299" s="184">
        <v>4.0664740000000004</v>
      </c>
      <c r="I299" s="184">
        <v>4.1656400000000007</v>
      </c>
      <c r="J299" s="184">
        <v>4.2466620000000006</v>
      </c>
      <c r="K299" s="184">
        <v>4.2687619999999997</v>
      </c>
      <c r="L299" s="184">
        <v>4.0913599999999999</v>
      </c>
      <c r="M299" s="184">
        <v>4.1098360000000005</v>
      </c>
      <c r="N299" s="184">
        <v>4.1550379999999993</v>
      </c>
      <c r="O299" s="184">
        <v>4.1405760000000003</v>
      </c>
      <c r="P299" s="184">
        <v>4.1425159999999996</v>
      </c>
      <c r="Q299" s="184">
        <v>4.129594</v>
      </c>
      <c r="R299">
        <f t="shared" si="5"/>
        <v>4.1097793750000005</v>
      </c>
    </row>
    <row r="300" spans="1:18" x14ac:dyDescent="0.25">
      <c r="A300" s="179" t="s">
        <v>579</v>
      </c>
      <c r="B300" s="184">
        <v>3.9759859999999998</v>
      </c>
      <c r="C300" s="184">
        <v>4.002084</v>
      </c>
      <c r="D300" s="184">
        <v>3.9621900000000001</v>
      </c>
      <c r="E300" s="184">
        <v>4.0068780000000004</v>
      </c>
      <c r="F300" s="184">
        <v>4.0085259999999998</v>
      </c>
      <c r="G300" s="184">
        <v>4.0314199999999998</v>
      </c>
      <c r="H300" s="184">
        <v>4.017512</v>
      </c>
      <c r="I300" s="184">
        <v>4.130236</v>
      </c>
      <c r="J300" s="184">
        <v>4.2047340000000002</v>
      </c>
      <c r="K300" s="184">
        <v>4.2273239999999994</v>
      </c>
      <c r="L300" s="184">
        <v>4.045992</v>
      </c>
      <c r="M300" s="184">
        <v>4.0648780000000002</v>
      </c>
      <c r="N300" s="184">
        <v>4.1110820000000006</v>
      </c>
      <c r="O300" s="184">
        <v>4.096298</v>
      </c>
      <c r="P300" s="184">
        <v>4.0961639999999999</v>
      </c>
      <c r="Q300" s="184">
        <v>4.0820280000000002</v>
      </c>
      <c r="R300">
        <f t="shared" si="5"/>
        <v>4.0664582500000002</v>
      </c>
    </row>
    <row r="301" spans="1:18" x14ac:dyDescent="0.25">
      <c r="A301" s="179" t="s">
        <v>580</v>
      </c>
      <c r="B301" s="184">
        <v>3.8494259999999998</v>
      </c>
      <c r="C301" s="184">
        <v>3.8714580000000001</v>
      </c>
      <c r="D301" s="184">
        <v>3.833234</v>
      </c>
      <c r="E301" s="184">
        <v>3.8756239999999997</v>
      </c>
      <c r="F301" s="184">
        <v>3.8759239999999999</v>
      </c>
      <c r="G301" s="184">
        <v>3.89818</v>
      </c>
      <c r="H301" s="184">
        <v>3.8829160000000003</v>
      </c>
      <c r="I301" s="184">
        <v>4.0026919999999997</v>
      </c>
      <c r="J301" s="184">
        <v>4.0737860000000001</v>
      </c>
      <c r="K301" s="184">
        <v>4.0965639999999999</v>
      </c>
      <c r="L301" s="184">
        <v>3.9137060000000004</v>
      </c>
      <c r="M301" s="184">
        <v>3.93275</v>
      </c>
      <c r="N301" s="184">
        <v>3.9793400000000001</v>
      </c>
      <c r="O301" s="184">
        <v>3.9644360000000001</v>
      </c>
      <c r="P301" s="184">
        <v>3.9634699999999996</v>
      </c>
      <c r="Q301" s="184">
        <v>3.9479760000000002</v>
      </c>
      <c r="R301">
        <f t="shared" si="5"/>
        <v>3.9350926249999998</v>
      </c>
    </row>
    <row r="302" spans="1:18" x14ac:dyDescent="0.25">
      <c r="A302" s="179" t="s">
        <v>581</v>
      </c>
      <c r="B302" s="184">
        <v>3.6809059999999998</v>
      </c>
      <c r="C302" s="184">
        <v>3.7001239999999997</v>
      </c>
      <c r="D302" s="184">
        <v>3.6634199999999999</v>
      </c>
      <c r="E302" s="184">
        <v>3.7038060000000002</v>
      </c>
      <c r="F302" s="184">
        <v>3.7030320000000003</v>
      </c>
      <c r="G302" s="184">
        <v>3.7246899999999998</v>
      </c>
      <c r="H302" s="184">
        <v>3.7085439999999998</v>
      </c>
      <c r="I302" s="184">
        <v>3.8312179999999998</v>
      </c>
      <c r="J302" s="184">
        <v>3.8989540000000003</v>
      </c>
      <c r="K302" s="184">
        <v>3.9215140000000002</v>
      </c>
      <c r="L302" s="184">
        <v>3.7404459999999999</v>
      </c>
      <c r="M302" s="184">
        <v>3.7593040000000002</v>
      </c>
      <c r="N302" s="184">
        <v>3.8054360000000003</v>
      </c>
      <c r="O302" s="184">
        <v>3.7906740000000001</v>
      </c>
      <c r="P302" s="184">
        <v>3.789342</v>
      </c>
      <c r="Q302" s="184">
        <v>3.7729699999999999</v>
      </c>
      <c r="R302">
        <f t="shared" si="5"/>
        <v>3.7621487500000002</v>
      </c>
    </row>
    <row r="303" spans="1:18" x14ac:dyDescent="0.25">
      <c r="A303" s="179" t="s">
        <v>582</v>
      </c>
      <c r="B303" s="184">
        <v>3.6112420000000003</v>
      </c>
      <c r="C303" s="184">
        <v>3.626538</v>
      </c>
      <c r="D303" s="184">
        <v>3.5920199999999998</v>
      </c>
      <c r="E303" s="184">
        <v>3.6300120000000002</v>
      </c>
      <c r="F303" s="184">
        <v>3.6286779999999998</v>
      </c>
      <c r="G303" s="184">
        <v>3.6493580000000003</v>
      </c>
      <c r="H303" s="184">
        <v>3.6341439999999996</v>
      </c>
      <c r="I303" s="184">
        <v>3.7558020000000001</v>
      </c>
      <c r="J303" s="184">
        <v>3.8199079999999999</v>
      </c>
      <c r="K303" s="184">
        <v>3.841926</v>
      </c>
      <c r="L303" s="184">
        <v>3.6651920000000002</v>
      </c>
      <c r="M303" s="184">
        <v>3.6835999999999998</v>
      </c>
      <c r="N303" s="184">
        <v>3.7286299999999999</v>
      </c>
      <c r="O303" s="184">
        <v>3.7142199999999996</v>
      </c>
      <c r="P303" s="184">
        <v>3.7124600000000001</v>
      </c>
      <c r="Q303" s="184">
        <v>3.6970259999999997</v>
      </c>
      <c r="R303">
        <f t="shared" si="5"/>
        <v>3.6869222499999998</v>
      </c>
    </row>
    <row r="304" spans="1:18" x14ac:dyDescent="0.25">
      <c r="A304" s="179" t="s">
        <v>583</v>
      </c>
      <c r="B304" s="184">
        <v>3.5097579999999997</v>
      </c>
      <c r="C304" s="184">
        <v>3.5310600000000001</v>
      </c>
      <c r="D304" s="184">
        <v>3.4937860000000001</v>
      </c>
      <c r="E304" s="184">
        <v>3.5354640000000002</v>
      </c>
      <c r="F304" s="184">
        <v>3.5361539999999998</v>
      </c>
      <c r="G304" s="184">
        <v>3.5579099999999997</v>
      </c>
      <c r="H304" s="184">
        <v>3.5444819999999999</v>
      </c>
      <c r="I304" s="184">
        <v>3.6577120000000001</v>
      </c>
      <c r="J304" s="184">
        <v>3.7275559999999999</v>
      </c>
      <c r="K304" s="184">
        <v>3.7495920000000003</v>
      </c>
      <c r="L304" s="184">
        <v>3.5726999999999998</v>
      </c>
      <c r="M304" s="184">
        <v>3.5911239999999998</v>
      </c>
      <c r="N304" s="184">
        <v>3.6361919999999999</v>
      </c>
      <c r="O304" s="184">
        <v>3.6217759999999997</v>
      </c>
      <c r="P304" s="184">
        <v>3.62107</v>
      </c>
      <c r="Q304" s="184">
        <v>3.6074200000000003</v>
      </c>
      <c r="R304">
        <f t="shared" si="5"/>
        <v>3.5933597499999994</v>
      </c>
    </row>
    <row r="305" spans="1:18" x14ac:dyDescent="0.25">
      <c r="A305" s="179" t="s">
        <v>584</v>
      </c>
      <c r="B305" s="184">
        <v>3.5331939999999999</v>
      </c>
      <c r="C305" s="184">
        <v>3.548092</v>
      </c>
      <c r="D305" s="184">
        <v>3.5133000000000001</v>
      </c>
      <c r="E305" s="184">
        <v>3.5520179999999999</v>
      </c>
      <c r="F305" s="184">
        <v>3.55158</v>
      </c>
      <c r="G305" s="184">
        <v>3.5722860000000001</v>
      </c>
      <c r="H305" s="184">
        <v>3.5588200000000003</v>
      </c>
      <c r="I305" s="184">
        <v>3.6794600000000002</v>
      </c>
      <c r="J305" s="184">
        <v>3.74559</v>
      </c>
      <c r="K305" s="184">
        <v>3.7679260000000001</v>
      </c>
      <c r="L305" s="184">
        <v>3.5886260000000001</v>
      </c>
      <c r="M305" s="184">
        <v>3.6073000000000004</v>
      </c>
      <c r="N305" s="184">
        <v>3.652984</v>
      </c>
      <c r="O305" s="184">
        <v>3.638366</v>
      </c>
      <c r="P305" s="184">
        <v>3.636304</v>
      </c>
      <c r="Q305" s="184">
        <v>3.6226159999999998</v>
      </c>
      <c r="R305">
        <f t="shared" si="5"/>
        <v>3.6105288750000004</v>
      </c>
    </row>
    <row r="306" spans="1:18" x14ac:dyDescent="0.25">
      <c r="A306" s="179" t="s">
        <v>585</v>
      </c>
      <c r="B306" s="184">
        <v>3.4270800000000001</v>
      </c>
      <c r="C306" s="184">
        <v>3.4420380000000002</v>
      </c>
      <c r="D306" s="184">
        <v>3.4069600000000002</v>
      </c>
      <c r="E306" s="184">
        <v>3.4461599999999999</v>
      </c>
      <c r="F306" s="184">
        <v>3.4461379999999999</v>
      </c>
      <c r="G306" s="184">
        <v>3.4669299999999996</v>
      </c>
      <c r="H306" s="184">
        <v>3.4541149999999998</v>
      </c>
      <c r="I306" s="184">
        <v>3.5746500000000001</v>
      </c>
      <c r="J306" s="184">
        <v>3.6419280000000001</v>
      </c>
      <c r="K306" s="184">
        <v>3.6644730000000001</v>
      </c>
      <c r="L306" s="184">
        <v>3.4835279999999997</v>
      </c>
      <c r="M306" s="184">
        <v>3.50237</v>
      </c>
      <c r="N306" s="184">
        <v>3.5484749999999998</v>
      </c>
      <c r="O306" s="184">
        <v>3.5337230000000002</v>
      </c>
      <c r="P306" s="184">
        <v>3.5315349999999999</v>
      </c>
      <c r="Q306" s="184">
        <v>3.5184949999999997</v>
      </c>
      <c r="R306">
        <f t="shared" si="5"/>
        <v>3.5055373750000003</v>
      </c>
    </row>
    <row r="307" spans="1:18" x14ac:dyDescent="0.25">
      <c r="A307" s="179" t="s">
        <v>586</v>
      </c>
      <c r="B307" s="184">
        <v>3.2724160000000002</v>
      </c>
      <c r="C307" s="184">
        <v>3.2839679999999998</v>
      </c>
      <c r="D307" s="184">
        <v>3.2503859999999998</v>
      </c>
      <c r="E307" s="184">
        <v>3.2877240000000003</v>
      </c>
      <c r="F307" s="184">
        <v>3.2868560000000002</v>
      </c>
      <c r="G307" s="184">
        <v>3.3070360000000001</v>
      </c>
      <c r="H307" s="184">
        <v>3.2938200000000002</v>
      </c>
      <c r="I307" s="184">
        <v>3.4182620000000004</v>
      </c>
      <c r="J307" s="184">
        <v>3.482866</v>
      </c>
      <c r="K307" s="184">
        <v>3.5054340000000002</v>
      </c>
      <c r="L307" s="184">
        <v>3.3242820000000002</v>
      </c>
      <c r="M307" s="184">
        <v>3.3431480000000002</v>
      </c>
      <c r="N307" s="184">
        <v>3.3893059999999999</v>
      </c>
      <c r="O307" s="184">
        <v>3.3745340000000001</v>
      </c>
      <c r="P307" s="184">
        <v>3.3717159999999997</v>
      </c>
      <c r="Q307" s="184">
        <v>3.3582700000000001</v>
      </c>
      <c r="R307">
        <f t="shared" si="5"/>
        <v>3.3468765</v>
      </c>
    </row>
    <row r="308" spans="1:18" x14ac:dyDescent="0.25">
      <c r="A308" s="179" t="s">
        <v>587</v>
      </c>
      <c r="B308" s="184">
        <v>3.2021739999999999</v>
      </c>
      <c r="C308" s="184">
        <v>3.213454</v>
      </c>
      <c r="D308" s="184">
        <v>3.1805700000000003</v>
      </c>
      <c r="E308" s="184">
        <v>3.2171539999999998</v>
      </c>
      <c r="F308" s="184">
        <v>3.2161339999999998</v>
      </c>
      <c r="G308" s="184">
        <v>3.2359960000000001</v>
      </c>
      <c r="H308" s="184">
        <v>3.2231439999999996</v>
      </c>
      <c r="I308" s="184">
        <v>3.344074</v>
      </c>
      <c r="J308" s="184">
        <v>3.407038</v>
      </c>
      <c r="K308" s="184">
        <v>3.4290180000000001</v>
      </c>
      <c r="L308" s="184">
        <v>3.252586</v>
      </c>
      <c r="M308" s="184">
        <v>3.2709619999999999</v>
      </c>
      <c r="N308" s="184">
        <v>3.3159140000000003</v>
      </c>
      <c r="O308" s="184">
        <v>3.3015320000000004</v>
      </c>
      <c r="P308" s="184">
        <v>3.2989899999999999</v>
      </c>
      <c r="Q308" s="184">
        <v>3.28592</v>
      </c>
      <c r="R308">
        <f t="shared" si="5"/>
        <v>3.2746662499999997</v>
      </c>
    </row>
    <row r="309" spans="1:18" x14ac:dyDescent="0.25">
      <c r="A309" s="179" t="s">
        <v>588</v>
      </c>
      <c r="B309" s="184">
        <v>3.3000959999999999</v>
      </c>
      <c r="C309" s="184">
        <v>3.3063159999999998</v>
      </c>
      <c r="D309" s="184">
        <v>3.2756619999999996</v>
      </c>
      <c r="E309" s="184">
        <v>3.3095300000000001</v>
      </c>
      <c r="F309" s="184">
        <v>3.3073939999999999</v>
      </c>
      <c r="G309" s="184">
        <v>3.3263220000000002</v>
      </c>
      <c r="H309" s="184">
        <v>3.3132060000000001</v>
      </c>
      <c r="I309" s="184">
        <v>3.4390680000000002</v>
      </c>
      <c r="J309" s="184">
        <v>3.4981880000000003</v>
      </c>
      <c r="K309" s="184">
        <v>3.5201519999999999</v>
      </c>
      <c r="L309" s="184">
        <v>3.3438240000000001</v>
      </c>
      <c r="M309" s="184">
        <v>3.3621919999999998</v>
      </c>
      <c r="N309" s="184">
        <v>3.4071159999999998</v>
      </c>
      <c r="O309" s="184">
        <v>3.3927399999999999</v>
      </c>
      <c r="P309" s="184">
        <v>3.3892800000000003</v>
      </c>
      <c r="Q309" s="184">
        <v>3.3759440000000001</v>
      </c>
      <c r="R309">
        <f t="shared" si="5"/>
        <v>3.3666893749999995</v>
      </c>
    </row>
    <row r="310" spans="1:18" x14ac:dyDescent="0.25">
      <c r="A310" s="179" t="s">
        <v>589</v>
      </c>
      <c r="B310" s="184">
        <v>3.3355959999999998</v>
      </c>
      <c r="C310" s="184">
        <v>3.3561039999999998</v>
      </c>
      <c r="D310" s="184">
        <v>3.3192279999999998</v>
      </c>
      <c r="E310" s="184">
        <v>3.3606219999999998</v>
      </c>
      <c r="F310" s="184">
        <v>3.3615059999999999</v>
      </c>
      <c r="G310" s="184">
        <v>3.3830520000000002</v>
      </c>
      <c r="H310" s="184">
        <v>3.3704640000000001</v>
      </c>
      <c r="I310" s="184">
        <v>3.4823879999999998</v>
      </c>
      <c r="J310" s="184">
        <v>3.5520120000000004</v>
      </c>
      <c r="K310" s="184">
        <v>3.5739479999999997</v>
      </c>
      <c r="L310" s="184">
        <v>3.3978839999999999</v>
      </c>
      <c r="M310" s="184">
        <v>3.4162220000000003</v>
      </c>
      <c r="N310" s="184">
        <v>3.4610819999999998</v>
      </c>
      <c r="O310" s="184">
        <v>3.4467280000000002</v>
      </c>
      <c r="P310" s="184">
        <v>3.4459140000000001</v>
      </c>
      <c r="Q310" s="184">
        <v>3.4331080000000003</v>
      </c>
      <c r="R310">
        <f t="shared" si="5"/>
        <v>3.4184911249999992</v>
      </c>
    </row>
    <row r="311" spans="1:18" x14ac:dyDescent="0.25">
      <c r="A311" s="179" t="s">
        <v>590</v>
      </c>
      <c r="B311" s="184">
        <v>3.6328580000000001</v>
      </c>
      <c r="C311" s="184">
        <v>3.6662119999999998</v>
      </c>
      <c r="D311" s="184">
        <v>3.623354</v>
      </c>
      <c r="E311" s="184">
        <v>3.6717020000000002</v>
      </c>
      <c r="F311" s="184">
        <v>3.6749420000000002</v>
      </c>
      <c r="G311" s="184">
        <v>3.6990620000000001</v>
      </c>
      <c r="H311" s="184">
        <v>3.6857500000000001</v>
      </c>
      <c r="I311" s="184">
        <v>3.7896100000000001</v>
      </c>
      <c r="J311" s="184">
        <v>3.8690659999999997</v>
      </c>
      <c r="K311" s="184">
        <v>3.891416</v>
      </c>
      <c r="L311" s="184">
        <v>3.7120120000000001</v>
      </c>
      <c r="M311" s="184">
        <v>3.7306979999999998</v>
      </c>
      <c r="N311" s="184">
        <v>3.7764039999999999</v>
      </c>
      <c r="O311" s="184">
        <v>3.7617820000000002</v>
      </c>
      <c r="P311" s="184">
        <v>3.7631199999999998</v>
      </c>
      <c r="Q311" s="184">
        <v>3.7495819999999997</v>
      </c>
      <c r="R311">
        <f t="shared" si="5"/>
        <v>3.7310981249999995</v>
      </c>
    </row>
    <row r="312" spans="1:18" x14ac:dyDescent="0.25">
      <c r="A312" s="179" t="s">
        <v>591</v>
      </c>
      <c r="B312" s="184">
        <v>3.4953600000000002</v>
      </c>
      <c r="C312" s="184">
        <v>3.506224</v>
      </c>
      <c r="D312" s="184">
        <v>3.4726979999999998</v>
      </c>
      <c r="E312" s="184">
        <v>3.510284</v>
      </c>
      <c r="F312" s="184">
        <v>3.510014</v>
      </c>
      <c r="G312" s="184">
        <v>3.5300959999999999</v>
      </c>
      <c r="H312" s="184">
        <v>3.518294</v>
      </c>
      <c r="I312" s="184">
        <v>3.641594</v>
      </c>
      <c r="J312" s="184">
        <v>3.7072179999999997</v>
      </c>
      <c r="K312" s="184">
        <v>3.729924</v>
      </c>
      <c r="L312" s="184">
        <v>3.5476719999999999</v>
      </c>
      <c r="M312" s="184">
        <v>3.5666519999999999</v>
      </c>
      <c r="N312" s="184">
        <v>3.6130880000000003</v>
      </c>
      <c r="O312" s="184">
        <v>3.59823</v>
      </c>
      <c r="P312" s="184">
        <v>3.5951680000000001</v>
      </c>
      <c r="Q312" s="184">
        <v>3.5831339999999998</v>
      </c>
      <c r="R312">
        <f t="shared" si="5"/>
        <v>3.570353125</v>
      </c>
    </row>
    <row r="313" spans="1:18" x14ac:dyDescent="0.25">
      <c r="A313" s="179" t="s">
        <v>592</v>
      </c>
      <c r="B313" s="184">
        <v>3.4411840000000002</v>
      </c>
      <c r="C313" s="184">
        <v>3.4490759999999998</v>
      </c>
      <c r="D313" s="184">
        <v>3.4166919999999998</v>
      </c>
      <c r="E313" s="184">
        <v>3.4527379999999996</v>
      </c>
      <c r="F313" s="184">
        <v>3.4516119999999999</v>
      </c>
      <c r="G313" s="184">
        <v>3.4712499999999999</v>
      </c>
      <c r="H313" s="184">
        <v>3.458666</v>
      </c>
      <c r="I313" s="184">
        <v>3.587126</v>
      </c>
      <c r="J313" s="184">
        <v>3.650614</v>
      </c>
      <c r="K313" s="184">
        <v>3.6735199999999999</v>
      </c>
      <c r="L313" s="184">
        <v>3.489614</v>
      </c>
      <c r="M313" s="184">
        <v>3.5087660000000001</v>
      </c>
      <c r="N313" s="184">
        <v>3.5556260000000002</v>
      </c>
      <c r="O313" s="184">
        <v>3.540632</v>
      </c>
      <c r="P313" s="184">
        <v>3.5369140000000003</v>
      </c>
      <c r="Q313" s="184">
        <v>3.5240999999999998</v>
      </c>
      <c r="R313">
        <f t="shared" si="5"/>
        <v>3.5130081250000007</v>
      </c>
    </row>
    <row r="314" spans="1:18" x14ac:dyDescent="0.25">
      <c r="A314" s="179" t="s">
        <v>593</v>
      </c>
      <c r="B314" s="184">
        <v>3.478834</v>
      </c>
      <c r="C314" s="184">
        <v>3.4953780000000001</v>
      </c>
      <c r="D314" s="184">
        <v>3.458958</v>
      </c>
      <c r="E314" s="184">
        <v>3.4997420000000004</v>
      </c>
      <c r="F314" s="184">
        <v>3.5002900000000001</v>
      </c>
      <c r="G314" s="184">
        <v>3.5216539999999998</v>
      </c>
      <c r="H314" s="184">
        <v>3.508778</v>
      </c>
      <c r="I314" s="184">
        <v>3.6314360000000003</v>
      </c>
      <c r="J314" s="184">
        <v>3.7016719999999999</v>
      </c>
      <c r="K314" s="184">
        <v>3.7248600000000001</v>
      </c>
      <c r="L314" s="184">
        <v>3.5387460000000002</v>
      </c>
      <c r="M314" s="184">
        <v>3.5581300000000002</v>
      </c>
      <c r="N314" s="184">
        <v>3.6055479999999998</v>
      </c>
      <c r="O314" s="184">
        <v>3.590376</v>
      </c>
      <c r="P314" s="184">
        <v>3.5881060000000002</v>
      </c>
      <c r="Q314" s="184">
        <v>3.5749960000000001</v>
      </c>
      <c r="R314">
        <f t="shared" si="5"/>
        <v>3.5610940000000002</v>
      </c>
    </row>
    <row r="315" spans="1:18" x14ac:dyDescent="0.25">
      <c r="A315" s="179" t="s">
        <v>594</v>
      </c>
      <c r="B315" s="184">
        <v>3.5948280000000001</v>
      </c>
      <c r="C315" s="184">
        <v>3.616466</v>
      </c>
      <c r="D315" s="184">
        <v>3.578128</v>
      </c>
      <c r="E315" s="184">
        <v>3.6208</v>
      </c>
      <c r="F315" s="184">
        <v>3.621426</v>
      </c>
      <c r="G315" s="184">
        <v>3.6436979999999997</v>
      </c>
      <c r="H315" s="184">
        <v>3.6290619999999998</v>
      </c>
      <c r="I315" s="184">
        <v>3.7493000000000003</v>
      </c>
      <c r="J315" s="184">
        <v>3.8212860000000002</v>
      </c>
      <c r="K315" s="184">
        <v>3.8442979999999998</v>
      </c>
      <c r="L315" s="184">
        <v>3.659592</v>
      </c>
      <c r="M315" s="184">
        <v>3.6788259999999999</v>
      </c>
      <c r="N315" s="184">
        <v>3.725892</v>
      </c>
      <c r="O315" s="184">
        <v>3.7108300000000001</v>
      </c>
      <c r="P315" s="184">
        <v>3.7096499999999999</v>
      </c>
      <c r="Q315" s="184">
        <v>3.694782</v>
      </c>
      <c r="R315">
        <f t="shared" si="5"/>
        <v>3.6811790000000002</v>
      </c>
    </row>
    <row r="316" spans="1:18" x14ac:dyDescent="0.25">
      <c r="A316" s="179" t="s">
        <v>595</v>
      </c>
      <c r="B316" s="184">
        <v>3.5071919999999999</v>
      </c>
      <c r="C316" s="184">
        <v>3.518974</v>
      </c>
      <c r="D316" s="184">
        <v>3.4846840000000001</v>
      </c>
      <c r="E316" s="184">
        <v>3.5226439999999997</v>
      </c>
      <c r="F316" s="184">
        <v>3.5216619999999996</v>
      </c>
      <c r="G316" s="184">
        <v>3.542192</v>
      </c>
      <c r="H316" s="184">
        <v>3.528016</v>
      </c>
      <c r="I316" s="184">
        <v>3.657448</v>
      </c>
      <c r="J316" s="184">
        <v>3.7233860000000001</v>
      </c>
      <c r="K316" s="184">
        <v>3.74661</v>
      </c>
      <c r="L316" s="184">
        <v>3.5601819999999997</v>
      </c>
      <c r="M316" s="184">
        <v>3.5795979999999998</v>
      </c>
      <c r="N316" s="184">
        <v>3.6271</v>
      </c>
      <c r="O316" s="184">
        <v>3.6119020000000002</v>
      </c>
      <c r="P316" s="184">
        <v>3.6087579999999999</v>
      </c>
      <c r="Q316" s="184">
        <v>3.5943459999999998</v>
      </c>
      <c r="R316">
        <f t="shared" si="5"/>
        <v>3.5834183749999995</v>
      </c>
    </row>
    <row r="317" spans="1:18" x14ac:dyDescent="0.25">
      <c r="A317" s="179" t="s">
        <v>596</v>
      </c>
      <c r="B317" s="184">
        <v>3.5636559999999999</v>
      </c>
      <c r="C317" s="184">
        <v>3.5820259999999999</v>
      </c>
      <c r="D317" s="184">
        <v>3.5448760000000004</v>
      </c>
      <c r="E317" s="184">
        <v>3.5861559999999999</v>
      </c>
      <c r="F317" s="184">
        <v>3.5863</v>
      </c>
      <c r="G317" s="184">
        <v>3.60806</v>
      </c>
      <c r="H317" s="184">
        <v>3.5935259999999998</v>
      </c>
      <c r="I317" s="184">
        <v>3.717708</v>
      </c>
      <c r="J317" s="184">
        <v>3.7880940000000001</v>
      </c>
      <c r="K317" s="184">
        <v>3.8113260000000002</v>
      </c>
      <c r="L317" s="184">
        <v>3.6248299999999998</v>
      </c>
      <c r="M317" s="184">
        <v>3.6442540000000001</v>
      </c>
      <c r="N317" s="184">
        <v>3.6917719999999998</v>
      </c>
      <c r="O317" s="184">
        <v>3.6765680000000001</v>
      </c>
      <c r="P317" s="184">
        <v>3.6746480000000004</v>
      </c>
      <c r="Q317" s="184">
        <v>3.6598800000000002</v>
      </c>
      <c r="R317">
        <f t="shared" si="5"/>
        <v>3.6471050000000003</v>
      </c>
    </row>
    <row r="318" spans="1:18" x14ac:dyDescent="0.25">
      <c r="A318" s="179" t="s">
        <v>597</v>
      </c>
      <c r="B318" s="184">
        <v>3.6453800000000003</v>
      </c>
      <c r="C318" s="184">
        <v>3.66248</v>
      </c>
      <c r="D318" s="184">
        <v>3.62574</v>
      </c>
      <c r="E318" s="184">
        <v>3.6661630000000001</v>
      </c>
      <c r="F318" s="184">
        <v>3.665397</v>
      </c>
      <c r="G318" s="184">
        <v>3.6870770000000004</v>
      </c>
      <c r="H318" s="184">
        <v>3.6709070000000001</v>
      </c>
      <c r="I318" s="184">
        <v>3.8003930000000001</v>
      </c>
      <c r="J318" s="184">
        <v>3.8693230000000001</v>
      </c>
      <c r="K318" s="184">
        <v>3.8928029999999998</v>
      </c>
      <c r="L318" s="184">
        <v>3.7043369999999998</v>
      </c>
      <c r="M318" s="184">
        <v>3.723967</v>
      </c>
      <c r="N318" s="184">
        <v>3.7719830000000001</v>
      </c>
      <c r="O318" s="184">
        <v>3.7566199999999998</v>
      </c>
      <c r="P318" s="184">
        <v>3.7543670000000002</v>
      </c>
      <c r="Q318" s="184">
        <v>3.7379600000000002</v>
      </c>
      <c r="R318">
        <f t="shared" si="5"/>
        <v>3.7271810625000001</v>
      </c>
    </row>
    <row r="319" spans="1:18" x14ac:dyDescent="0.25">
      <c r="A319" s="179" t="s">
        <v>598</v>
      </c>
      <c r="B319" s="184">
        <v>3.6958420000000003</v>
      </c>
      <c r="C319" s="184">
        <v>3.7148440000000003</v>
      </c>
      <c r="D319" s="184">
        <v>3.6763780000000001</v>
      </c>
      <c r="E319" s="184">
        <v>3.7190659999999998</v>
      </c>
      <c r="F319" s="184">
        <v>3.7194780000000001</v>
      </c>
      <c r="G319" s="184">
        <v>3.7418400000000003</v>
      </c>
      <c r="H319" s="184">
        <v>3.7265859999999997</v>
      </c>
      <c r="I319" s="184">
        <v>3.8571580000000001</v>
      </c>
      <c r="J319" s="184">
        <v>3.9305560000000002</v>
      </c>
      <c r="K319" s="184">
        <v>3.9548580000000002</v>
      </c>
      <c r="L319" s="184">
        <v>3.7597860000000001</v>
      </c>
      <c r="M319" s="184">
        <v>3.7801</v>
      </c>
      <c r="N319" s="184">
        <v>3.829806</v>
      </c>
      <c r="O319" s="184">
        <v>3.8139020000000001</v>
      </c>
      <c r="P319" s="184">
        <v>3.8114920000000003</v>
      </c>
      <c r="Q319" s="184">
        <v>3.795992</v>
      </c>
      <c r="R319">
        <f t="shared" si="5"/>
        <v>3.7829802499999996</v>
      </c>
    </row>
    <row r="320" spans="1:18" x14ac:dyDescent="0.25">
      <c r="A320" s="179" t="s">
        <v>599</v>
      </c>
      <c r="B320" s="184">
        <v>3.7992319999999999</v>
      </c>
      <c r="C320" s="184">
        <v>3.8315419999999998</v>
      </c>
      <c r="D320" s="184">
        <v>3.7872020000000002</v>
      </c>
      <c r="E320" s="184">
        <v>3.8371779999999998</v>
      </c>
      <c r="F320" s="184">
        <v>3.8408180000000001</v>
      </c>
      <c r="G320" s="184">
        <v>3.8655979999999999</v>
      </c>
      <c r="H320" s="184">
        <v>3.851696</v>
      </c>
      <c r="I320" s="184">
        <v>3.9679000000000002</v>
      </c>
      <c r="J320" s="184">
        <v>4.0518039999999997</v>
      </c>
      <c r="K320" s="184">
        <v>4.0760940000000003</v>
      </c>
      <c r="L320" s="184">
        <v>3.8811060000000004</v>
      </c>
      <c r="M320" s="184">
        <v>3.9014140000000004</v>
      </c>
      <c r="N320" s="184">
        <v>3.9510939999999999</v>
      </c>
      <c r="O320" s="184">
        <v>3.9351979999999998</v>
      </c>
      <c r="P320" s="184">
        <v>3.9352199999999997</v>
      </c>
      <c r="Q320" s="184">
        <v>3.9210700000000003</v>
      </c>
      <c r="R320">
        <f t="shared" si="5"/>
        <v>3.9021353749999999</v>
      </c>
    </row>
    <row r="321" spans="1:18" x14ac:dyDescent="0.25">
      <c r="A321" s="179" t="s">
        <v>600</v>
      </c>
      <c r="B321" s="184">
        <v>3.9380540000000002</v>
      </c>
      <c r="C321" s="184">
        <v>3.9740419999999999</v>
      </c>
      <c r="D321" s="184">
        <v>3.9278359999999997</v>
      </c>
      <c r="E321" s="184">
        <v>3.9799579999999999</v>
      </c>
      <c r="F321" s="184">
        <v>3.9842759999999999</v>
      </c>
      <c r="G321" s="184">
        <v>4.009868</v>
      </c>
      <c r="H321" s="184">
        <v>3.9956179999999999</v>
      </c>
      <c r="I321" s="184">
        <v>4.1106440000000006</v>
      </c>
      <c r="J321" s="184">
        <v>4.1977279999999997</v>
      </c>
      <c r="K321" s="184">
        <v>4.222302</v>
      </c>
      <c r="L321" s="184">
        <v>4.0250380000000003</v>
      </c>
      <c r="M321" s="184">
        <v>4.0455819999999996</v>
      </c>
      <c r="N321" s="184">
        <v>4.0958440000000005</v>
      </c>
      <c r="O321" s="184">
        <v>4.0797620000000006</v>
      </c>
      <c r="P321" s="184">
        <v>4.0803060000000002</v>
      </c>
      <c r="Q321" s="184">
        <v>4.065804</v>
      </c>
      <c r="R321">
        <f t="shared" si="5"/>
        <v>4.0457913750000003</v>
      </c>
    </row>
    <row r="322" spans="1:18" x14ac:dyDescent="0.25">
      <c r="A322" s="179" t="s">
        <v>601</v>
      </c>
      <c r="B322" s="184">
        <v>3.9288879999999997</v>
      </c>
      <c r="C322" s="184">
        <v>3.9552429999999998</v>
      </c>
      <c r="D322" s="184">
        <v>3.9129529999999999</v>
      </c>
      <c r="E322" s="184">
        <v>3.9603679999999999</v>
      </c>
      <c r="F322" s="184">
        <v>3.9628299999999999</v>
      </c>
      <c r="G322" s="184">
        <v>3.9867730000000003</v>
      </c>
      <c r="H322" s="184">
        <v>3.9722879999999998</v>
      </c>
      <c r="I322" s="184">
        <v>4.0978750000000002</v>
      </c>
      <c r="J322" s="184">
        <v>4.1787479999999997</v>
      </c>
      <c r="K322" s="184">
        <v>4.203608</v>
      </c>
      <c r="L322" s="184">
        <v>4.0040630000000004</v>
      </c>
      <c r="M322" s="184">
        <v>4.024845</v>
      </c>
      <c r="N322" s="184">
        <v>4.0756880000000004</v>
      </c>
      <c r="O322" s="184">
        <v>4.0594149999999996</v>
      </c>
      <c r="P322" s="184">
        <v>4.0580230000000004</v>
      </c>
      <c r="Q322" s="184">
        <v>4.0432829999999997</v>
      </c>
      <c r="R322">
        <f t="shared" si="5"/>
        <v>4.0265556875000001</v>
      </c>
    </row>
    <row r="323" spans="1:18" x14ac:dyDescent="0.25">
      <c r="A323" s="179" t="s">
        <v>602</v>
      </c>
      <c r="B323" s="184">
        <v>4.0534949999999998</v>
      </c>
      <c r="C323" s="184">
        <v>4.068638</v>
      </c>
      <c r="D323" s="184">
        <v>4.0312929999999998</v>
      </c>
      <c r="E323" s="184">
        <v>4.0727549999999999</v>
      </c>
      <c r="F323" s="184">
        <v>4.0728900000000001</v>
      </c>
      <c r="G323" s="184">
        <v>4.0947449999999996</v>
      </c>
      <c r="H323" s="184">
        <v>4.0800030000000005</v>
      </c>
      <c r="I323" s="184">
        <v>4.2158729999999993</v>
      </c>
      <c r="J323" s="184">
        <v>4.2883999999999993</v>
      </c>
      <c r="K323" s="184">
        <v>4.3132129999999993</v>
      </c>
      <c r="L323" s="184">
        <v>4.114045</v>
      </c>
      <c r="M323" s="184">
        <v>4.1347879999999995</v>
      </c>
      <c r="N323" s="184">
        <v>4.1855349999999998</v>
      </c>
      <c r="O323" s="184">
        <v>4.1692979999999995</v>
      </c>
      <c r="P323" s="184">
        <v>4.1658629999999999</v>
      </c>
      <c r="Q323" s="184">
        <v>4.1508700000000003</v>
      </c>
      <c r="R323">
        <f t="shared" si="5"/>
        <v>4.1382314999999998</v>
      </c>
    </row>
    <row r="324" spans="1:18" x14ac:dyDescent="0.25">
      <c r="A324" s="179" t="s">
        <v>603</v>
      </c>
      <c r="B324" s="184">
        <v>4.0652720000000002</v>
      </c>
      <c r="C324" s="184">
        <v>4.0671499999999998</v>
      </c>
      <c r="D324" s="184">
        <v>4.0358200000000002</v>
      </c>
      <c r="E324" s="184">
        <v>4.0704279999999997</v>
      </c>
      <c r="F324" s="184">
        <v>4.0684620000000002</v>
      </c>
      <c r="G324" s="184">
        <v>4.0876999999999999</v>
      </c>
      <c r="H324" s="184">
        <v>4.0742799999999999</v>
      </c>
      <c r="I324" s="184">
        <v>4.2179880000000001</v>
      </c>
      <c r="J324" s="184">
        <v>4.2811639999999995</v>
      </c>
      <c r="K324" s="184">
        <v>4.3056540000000005</v>
      </c>
      <c r="L324" s="184">
        <v>4.1090799999999996</v>
      </c>
      <c r="M324" s="184">
        <v>4.1295539999999997</v>
      </c>
      <c r="N324" s="184">
        <v>4.1796360000000004</v>
      </c>
      <c r="O324" s="184">
        <v>4.1636099999999994</v>
      </c>
      <c r="P324" s="184">
        <v>4.1578840000000001</v>
      </c>
      <c r="Q324" s="184">
        <v>4.1442200000000007</v>
      </c>
      <c r="R324">
        <f t="shared" si="5"/>
        <v>4.1348688749999996</v>
      </c>
    </row>
    <row r="325" spans="1:18" x14ac:dyDescent="0.25">
      <c r="A325" s="179" t="s">
        <v>604</v>
      </c>
      <c r="B325" s="184">
        <v>4.2096580000000001</v>
      </c>
      <c r="C325" s="184">
        <v>4.2204379999999997</v>
      </c>
      <c r="D325" s="184">
        <v>4.185378</v>
      </c>
      <c r="E325" s="184">
        <v>4.224494</v>
      </c>
      <c r="F325" s="184">
        <v>4.2243399999999998</v>
      </c>
      <c r="G325" s="184">
        <v>4.2451419999999995</v>
      </c>
      <c r="H325" s="184">
        <v>4.2320359999999999</v>
      </c>
      <c r="I325" s="184">
        <v>4.3663800000000004</v>
      </c>
      <c r="J325" s="184">
        <v>4.4356780000000002</v>
      </c>
      <c r="K325" s="184">
        <v>4.4600100000000005</v>
      </c>
      <c r="L325" s="184">
        <v>4.2646959999999998</v>
      </c>
      <c r="M325" s="184">
        <v>4.2850379999999992</v>
      </c>
      <c r="N325" s="184">
        <v>4.3348019999999998</v>
      </c>
      <c r="O325" s="184">
        <v>4.3188760000000004</v>
      </c>
      <c r="P325" s="184">
        <v>4.3148759999999999</v>
      </c>
      <c r="Q325" s="184">
        <v>4.3015280000000002</v>
      </c>
      <c r="R325">
        <f t="shared" si="5"/>
        <v>4.2889606250000005</v>
      </c>
    </row>
    <row r="326" spans="1:18" x14ac:dyDescent="0.25">
      <c r="A326" s="179" t="s">
        <v>605</v>
      </c>
      <c r="B326" s="184">
        <v>4.1091850000000001</v>
      </c>
      <c r="C326" s="184">
        <v>4.1220400000000001</v>
      </c>
      <c r="D326" s="184">
        <v>4.0823049999999999</v>
      </c>
      <c r="E326" s="184">
        <v>4.1180129999999995</v>
      </c>
      <c r="F326" s="184">
        <v>4.1277299999999997</v>
      </c>
      <c r="G326" s="184">
        <v>4.1323429999999997</v>
      </c>
      <c r="H326" s="184">
        <v>4.1227580000000001</v>
      </c>
      <c r="I326" s="184">
        <v>4.2605230000000001</v>
      </c>
      <c r="J326" s="184">
        <v>4.3348800000000001</v>
      </c>
      <c r="K326" s="184">
        <v>4.3596380000000003</v>
      </c>
      <c r="L326" s="184">
        <v>4.1673629999999999</v>
      </c>
      <c r="M326" s="184">
        <v>4.1876229999999994</v>
      </c>
      <c r="N326" s="184">
        <v>4.2394979999999993</v>
      </c>
      <c r="O326" s="184">
        <v>4.2213729999999998</v>
      </c>
      <c r="P326" s="184">
        <v>4.2014080000000007</v>
      </c>
      <c r="Q326" s="184">
        <v>4.1926329999999998</v>
      </c>
      <c r="R326">
        <f t="shared" si="5"/>
        <v>4.1862070624999994</v>
      </c>
    </row>
    <row r="328" spans="1:18" x14ac:dyDescent="0.25">
      <c r="Q328" t="s">
        <v>606</v>
      </c>
      <c r="R328">
        <f>SUM(R219:R326)/COUNT(R219:R326)</f>
        <v>3.9340828489583339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7BFC7-7F0E-46B2-9AB1-E7D384F42D26}">
  <dimension ref="A1:I640"/>
  <sheetViews>
    <sheetView topLeftCell="A608" workbookViewId="0">
      <selection activeCell="I635" sqref="I635"/>
    </sheetView>
  </sheetViews>
  <sheetFormatPr defaultRowHeight="15" x14ac:dyDescent="0.25"/>
  <cols>
    <col min="1" max="1" width="59.85546875" customWidth="1"/>
    <col min="2" max="3" width="18.28515625" customWidth="1"/>
    <col min="4" max="4" width="12.7109375" customWidth="1"/>
    <col min="6" max="6" width="4.7109375" customWidth="1"/>
    <col min="9" max="9" width="9.5703125" bestFit="1" customWidth="1"/>
  </cols>
  <sheetData>
    <row r="1" spans="1:9" x14ac:dyDescent="0.25">
      <c r="A1" s="205" t="s">
        <v>204</v>
      </c>
      <c r="B1" s="206"/>
      <c r="C1" s="206"/>
      <c r="D1" s="206"/>
      <c r="E1" s="206"/>
      <c r="F1" s="206"/>
      <c r="G1" s="206"/>
      <c r="H1" s="206"/>
      <c r="I1" s="207"/>
    </row>
    <row r="2" spans="1:9" x14ac:dyDescent="0.25">
      <c r="A2" s="164" t="s">
        <v>205</v>
      </c>
      <c r="B2" s="1"/>
      <c r="C2" s="1"/>
      <c r="D2" s="1"/>
      <c r="E2" s="1"/>
      <c r="F2" s="1"/>
      <c r="G2" s="1"/>
      <c r="H2" s="1"/>
      <c r="I2" s="165" t="s">
        <v>206</v>
      </c>
    </row>
    <row r="3" spans="1:9" x14ac:dyDescent="0.25">
      <c r="A3" s="208" t="s">
        <v>193</v>
      </c>
      <c r="B3" s="155" t="s">
        <v>194</v>
      </c>
      <c r="C3" s="156"/>
      <c r="D3" s="159" t="s">
        <v>195</v>
      </c>
      <c r="E3" s="160"/>
      <c r="F3" s="160"/>
      <c r="G3" s="160"/>
      <c r="H3" s="161"/>
      <c r="I3" s="208" t="s">
        <v>45</v>
      </c>
    </row>
    <row r="4" spans="1:9" x14ac:dyDescent="0.25">
      <c r="A4" s="209"/>
      <c r="B4" s="157" t="s">
        <v>196</v>
      </c>
      <c r="C4" s="158"/>
      <c r="D4" s="162" t="s">
        <v>197</v>
      </c>
      <c r="E4" s="162" t="s">
        <v>198</v>
      </c>
      <c r="F4" s="162" t="s">
        <v>199</v>
      </c>
      <c r="G4" s="162" t="s">
        <v>200</v>
      </c>
      <c r="H4" s="162" t="s">
        <v>201</v>
      </c>
      <c r="I4" s="209"/>
    </row>
    <row r="5" spans="1:9" x14ac:dyDescent="0.25">
      <c r="A5" s="146" t="s">
        <v>191</v>
      </c>
      <c r="B5" s="144">
        <v>41274</v>
      </c>
      <c r="C5" s="144">
        <v>41280</v>
      </c>
      <c r="D5" s="145">
        <v>1.8358399999999999</v>
      </c>
      <c r="E5" s="145">
        <v>1.8261500000000002</v>
      </c>
      <c r="F5" s="145" t="s">
        <v>192</v>
      </c>
      <c r="G5" s="145">
        <v>1.8580300000000001</v>
      </c>
      <c r="H5" s="145">
        <v>1.8301800000000001</v>
      </c>
      <c r="I5" s="145">
        <v>1.83091</v>
      </c>
    </row>
    <row r="6" spans="1:9" x14ac:dyDescent="0.25">
      <c r="A6" s="146" t="s">
        <v>191</v>
      </c>
      <c r="B6" s="144">
        <v>41281</v>
      </c>
      <c r="C6" s="144">
        <v>41287</v>
      </c>
      <c r="D6" s="145">
        <v>1.83544</v>
      </c>
      <c r="E6" s="145">
        <v>1.8283499999999999</v>
      </c>
      <c r="F6" s="145" t="s">
        <v>192</v>
      </c>
      <c r="G6" s="145">
        <v>1.8739000000000001</v>
      </c>
      <c r="H6" s="145">
        <v>1.8343800000000001</v>
      </c>
      <c r="I6" s="145">
        <v>1.8363399999999999</v>
      </c>
    </row>
    <row r="7" spans="1:9" x14ac:dyDescent="0.25">
      <c r="A7" s="146" t="s">
        <v>191</v>
      </c>
      <c r="B7" s="144">
        <v>41288</v>
      </c>
      <c r="C7" s="144">
        <v>41294</v>
      </c>
      <c r="D7" s="145">
        <v>1.8410299999999999</v>
      </c>
      <c r="E7" s="145">
        <v>1.83101</v>
      </c>
      <c r="F7" s="145" t="s">
        <v>192</v>
      </c>
      <c r="G7" s="145">
        <v>1.8781700000000001</v>
      </c>
      <c r="H7" s="145">
        <v>1.83114</v>
      </c>
      <c r="I7" s="145">
        <v>1.8350299999999999</v>
      </c>
    </row>
    <row r="8" spans="1:9" x14ac:dyDescent="0.25">
      <c r="A8" s="146" t="s">
        <v>191</v>
      </c>
      <c r="B8" s="144">
        <v>41295</v>
      </c>
      <c r="C8" s="144">
        <v>41301</v>
      </c>
      <c r="D8" s="145">
        <v>1.8399700000000001</v>
      </c>
      <c r="E8" s="145">
        <v>1.8272899999999999</v>
      </c>
      <c r="F8" s="145" t="s">
        <v>192</v>
      </c>
      <c r="G8" s="145">
        <v>1.8764100000000001</v>
      </c>
      <c r="H8" s="145">
        <v>1.8356700000000001</v>
      </c>
      <c r="I8" s="145">
        <v>1.83765</v>
      </c>
    </row>
    <row r="9" spans="1:9" x14ac:dyDescent="0.25">
      <c r="A9" s="146" t="s">
        <v>191</v>
      </c>
      <c r="B9" s="144">
        <v>41302</v>
      </c>
      <c r="C9" s="144">
        <v>41308</v>
      </c>
      <c r="D9" s="145">
        <v>1.84154</v>
      </c>
      <c r="E9" s="145">
        <v>1.8332899999999999</v>
      </c>
      <c r="F9" s="145" t="s">
        <v>192</v>
      </c>
      <c r="G9" s="145">
        <v>1.8860999999999999</v>
      </c>
      <c r="H9" s="145">
        <v>1.84371</v>
      </c>
      <c r="I9" s="145">
        <v>1.8439700000000001</v>
      </c>
    </row>
    <row r="10" spans="1:9" x14ac:dyDescent="0.25">
      <c r="A10" s="146" t="s">
        <v>191</v>
      </c>
      <c r="B10" s="144">
        <v>41309</v>
      </c>
      <c r="C10" s="144">
        <v>41315</v>
      </c>
      <c r="D10" s="145">
        <v>1.8596300000000001</v>
      </c>
      <c r="E10" s="145">
        <v>1.8521400000000001</v>
      </c>
      <c r="F10" s="145" t="s">
        <v>192</v>
      </c>
      <c r="G10" s="145">
        <v>1.8841400000000001</v>
      </c>
      <c r="H10" s="145">
        <v>1.85371</v>
      </c>
      <c r="I10" s="145">
        <v>1.8560099999999999</v>
      </c>
    </row>
    <row r="11" spans="1:9" x14ac:dyDescent="0.25">
      <c r="A11" s="146" t="s">
        <v>191</v>
      </c>
      <c r="B11" s="144">
        <v>41316</v>
      </c>
      <c r="C11" s="144">
        <v>41322</v>
      </c>
      <c r="D11" s="145">
        <v>1.8520799999999999</v>
      </c>
      <c r="E11" s="145">
        <v>1.8477999999999999</v>
      </c>
      <c r="F11" s="145" t="s">
        <v>192</v>
      </c>
      <c r="G11" s="145">
        <v>1.89178</v>
      </c>
      <c r="H11" s="145">
        <v>1.8528900000000001</v>
      </c>
      <c r="I11" s="145">
        <v>1.8551600000000001</v>
      </c>
    </row>
    <row r="12" spans="1:9" x14ac:dyDescent="0.25">
      <c r="A12" s="146" t="s">
        <v>191</v>
      </c>
      <c r="B12" s="144">
        <v>41323</v>
      </c>
      <c r="C12" s="144">
        <v>41329</v>
      </c>
      <c r="D12" s="145">
        <v>1.7259200000000001</v>
      </c>
      <c r="E12" s="145">
        <v>1.85412</v>
      </c>
      <c r="F12" s="145" t="s">
        <v>192</v>
      </c>
      <c r="G12" s="145">
        <v>1.8990799999999999</v>
      </c>
      <c r="H12" s="145">
        <v>1.85568</v>
      </c>
      <c r="I12" s="145">
        <v>1.8502400000000001</v>
      </c>
    </row>
    <row r="13" spans="1:9" x14ac:dyDescent="0.25">
      <c r="A13" s="146" t="s">
        <v>191</v>
      </c>
      <c r="B13" s="144">
        <v>41330</v>
      </c>
      <c r="C13" s="144">
        <v>41336</v>
      </c>
      <c r="D13" s="145">
        <v>1.86669</v>
      </c>
      <c r="E13" s="145">
        <v>1.863</v>
      </c>
      <c r="F13" s="145" t="s">
        <v>192</v>
      </c>
      <c r="G13" s="145">
        <v>1.9019999999999999</v>
      </c>
      <c r="H13" s="145">
        <v>1.8632599999999999</v>
      </c>
      <c r="I13" s="145">
        <v>1.8662699999999999</v>
      </c>
    </row>
    <row r="14" spans="1:9" x14ac:dyDescent="0.25">
      <c r="A14" s="146" t="s">
        <v>191</v>
      </c>
      <c r="B14" s="144">
        <v>41337</v>
      </c>
      <c r="C14" s="144">
        <v>41343</v>
      </c>
      <c r="D14" s="145">
        <v>1.89177</v>
      </c>
      <c r="E14" s="145">
        <v>1.87957</v>
      </c>
      <c r="F14" s="145" t="s">
        <v>192</v>
      </c>
      <c r="G14" s="145">
        <v>1.9297</v>
      </c>
      <c r="H14" s="145">
        <v>1.8771500000000001</v>
      </c>
      <c r="I14" s="145">
        <v>1.88239</v>
      </c>
    </row>
    <row r="15" spans="1:9" x14ac:dyDescent="0.25">
      <c r="A15" s="146" t="s">
        <v>191</v>
      </c>
      <c r="B15" s="144">
        <v>41344</v>
      </c>
      <c r="C15" s="144">
        <v>41350</v>
      </c>
      <c r="D15" s="145">
        <v>1.89198</v>
      </c>
      <c r="E15" s="145">
        <v>1.8802300000000001</v>
      </c>
      <c r="F15" s="145">
        <v>1.90425</v>
      </c>
      <c r="G15" s="145">
        <v>1.9173499999999999</v>
      </c>
      <c r="H15" s="145">
        <v>1.8793800000000001</v>
      </c>
      <c r="I15" s="145">
        <v>1.8828399999999998</v>
      </c>
    </row>
    <row r="16" spans="1:9" x14ac:dyDescent="0.25">
      <c r="A16" s="146" t="s">
        <v>191</v>
      </c>
      <c r="B16" s="144">
        <v>41351</v>
      </c>
      <c r="C16" s="144">
        <v>41357</v>
      </c>
      <c r="D16" s="145">
        <v>1.9106500000000002</v>
      </c>
      <c r="E16" s="145">
        <v>1.8855999999999999</v>
      </c>
      <c r="F16" s="145" t="s">
        <v>192</v>
      </c>
      <c r="G16" s="145">
        <v>1.93702</v>
      </c>
      <c r="H16" s="145">
        <v>1.88517</v>
      </c>
      <c r="I16" s="145">
        <v>1.89029</v>
      </c>
    </row>
    <row r="17" spans="1:9" x14ac:dyDescent="0.25">
      <c r="A17" s="146" t="s">
        <v>191</v>
      </c>
      <c r="B17" s="144">
        <v>41358</v>
      </c>
      <c r="C17" s="144">
        <v>41364</v>
      </c>
      <c r="D17" s="145">
        <v>1.89954</v>
      </c>
      <c r="E17" s="145">
        <v>1.8885000000000001</v>
      </c>
      <c r="F17" s="145" t="s">
        <v>192</v>
      </c>
      <c r="G17" s="145">
        <v>1.94001</v>
      </c>
      <c r="H17" s="145">
        <v>1.8892500000000001</v>
      </c>
      <c r="I17" s="145">
        <v>1.89324</v>
      </c>
    </row>
    <row r="18" spans="1:9" x14ac:dyDescent="0.25">
      <c r="A18" s="146" t="s">
        <v>191</v>
      </c>
      <c r="B18" s="144">
        <v>41365</v>
      </c>
      <c r="C18" s="144">
        <v>41371</v>
      </c>
      <c r="D18" s="145">
        <v>1.76424</v>
      </c>
      <c r="E18" s="145">
        <v>1.7462500000000001</v>
      </c>
      <c r="F18" s="145" t="s">
        <v>192</v>
      </c>
      <c r="G18" s="145">
        <v>1.79525</v>
      </c>
      <c r="H18" s="145">
        <v>1.7523199999999999</v>
      </c>
      <c r="I18" s="145">
        <v>1.7555499999999999</v>
      </c>
    </row>
    <row r="19" spans="1:9" x14ac:dyDescent="0.25">
      <c r="A19" s="146" t="s">
        <v>191</v>
      </c>
      <c r="B19" s="144">
        <v>41372</v>
      </c>
      <c r="C19" s="144">
        <v>41378</v>
      </c>
      <c r="D19" s="145">
        <v>1.7658800000000001</v>
      </c>
      <c r="E19" s="145">
        <v>1.7548499999999998</v>
      </c>
      <c r="F19" s="145" t="s">
        <v>192</v>
      </c>
      <c r="G19" s="145">
        <v>1.79539</v>
      </c>
      <c r="H19" s="145">
        <v>1.75407</v>
      </c>
      <c r="I19" s="145">
        <v>1.7580499999999999</v>
      </c>
    </row>
    <row r="20" spans="1:9" x14ac:dyDescent="0.25">
      <c r="A20" s="146" t="s">
        <v>191</v>
      </c>
      <c r="B20" s="144">
        <v>41379</v>
      </c>
      <c r="C20" s="144">
        <v>41385</v>
      </c>
      <c r="D20" s="145">
        <v>1.77424</v>
      </c>
      <c r="E20" s="145">
        <v>1.74685</v>
      </c>
      <c r="F20" s="145" t="s">
        <v>192</v>
      </c>
      <c r="G20" s="145">
        <v>1.7987500000000001</v>
      </c>
      <c r="H20" s="145">
        <v>1.7531099999999999</v>
      </c>
      <c r="I20" s="145">
        <v>1.7553299999999998</v>
      </c>
    </row>
    <row r="21" spans="1:9" x14ac:dyDescent="0.25">
      <c r="A21" s="146" t="s">
        <v>191</v>
      </c>
      <c r="B21" s="144">
        <v>41386</v>
      </c>
      <c r="C21" s="144">
        <v>41392</v>
      </c>
      <c r="D21" s="145">
        <v>1.7650599999999999</v>
      </c>
      <c r="E21" s="145">
        <v>1.75143</v>
      </c>
      <c r="F21" s="145" t="s">
        <v>192</v>
      </c>
      <c r="G21" s="145">
        <v>1.8000699999999998</v>
      </c>
      <c r="H21" s="145">
        <v>1.76006</v>
      </c>
      <c r="I21" s="145">
        <v>1.76291</v>
      </c>
    </row>
    <row r="22" spans="1:9" x14ac:dyDescent="0.25">
      <c r="A22" s="146" t="s">
        <v>191</v>
      </c>
      <c r="B22" s="144">
        <v>41393</v>
      </c>
      <c r="C22" s="144">
        <v>41399</v>
      </c>
      <c r="D22" s="145">
        <v>1.74305</v>
      </c>
      <c r="E22" s="145">
        <v>1.7275399999999999</v>
      </c>
      <c r="F22" s="145" t="s">
        <v>192</v>
      </c>
      <c r="G22" s="145">
        <v>1.75848</v>
      </c>
      <c r="H22" s="145">
        <v>1.7216400000000001</v>
      </c>
      <c r="I22" s="145">
        <v>1.72671</v>
      </c>
    </row>
    <row r="23" spans="1:9" x14ac:dyDescent="0.25">
      <c r="A23" s="146" t="s">
        <v>191</v>
      </c>
      <c r="B23" s="144">
        <v>41400</v>
      </c>
      <c r="C23" s="144">
        <v>41406</v>
      </c>
      <c r="D23" s="145">
        <v>1.71292</v>
      </c>
      <c r="E23" s="145">
        <v>1.70061</v>
      </c>
      <c r="F23" s="145" t="s">
        <v>192</v>
      </c>
      <c r="G23" s="145">
        <v>1.7441500000000001</v>
      </c>
      <c r="H23" s="145">
        <v>1.70682</v>
      </c>
      <c r="I23" s="145">
        <v>1.7096500000000001</v>
      </c>
    </row>
    <row r="24" spans="1:9" x14ac:dyDescent="0.25">
      <c r="A24" s="146" t="s">
        <v>191</v>
      </c>
      <c r="B24" s="144">
        <v>41407</v>
      </c>
      <c r="C24" s="144">
        <v>41413</v>
      </c>
      <c r="D24" s="145">
        <v>1.64455</v>
      </c>
      <c r="E24" s="145">
        <v>1.69943</v>
      </c>
      <c r="F24" s="145" t="s">
        <v>192</v>
      </c>
      <c r="G24" s="145">
        <v>1.7462899999999999</v>
      </c>
      <c r="H24" s="145">
        <v>1.70448</v>
      </c>
      <c r="I24" s="145">
        <v>1.7036500000000001</v>
      </c>
    </row>
    <row r="25" spans="1:9" x14ac:dyDescent="0.25">
      <c r="A25" s="146" t="s">
        <v>191</v>
      </c>
      <c r="B25" s="144">
        <v>41414</v>
      </c>
      <c r="C25" s="144">
        <v>41420</v>
      </c>
      <c r="D25" s="145">
        <v>1.7198900000000001</v>
      </c>
      <c r="E25" s="145">
        <v>1.70546</v>
      </c>
      <c r="F25" s="145" t="s">
        <v>192</v>
      </c>
      <c r="G25" s="145">
        <v>1.7469700000000001</v>
      </c>
      <c r="H25" s="145">
        <v>1.7047600000000001</v>
      </c>
      <c r="I25" s="145">
        <v>1.70841</v>
      </c>
    </row>
    <row r="26" spans="1:9" x14ac:dyDescent="0.25">
      <c r="A26" s="146" t="s">
        <v>191</v>
      </c>
      <c r="B26" s="144">
        <v>41421</v>
      </c>
      <c r="C26" s="144">
        <v>41427</v>
      </c>
      <c r="D26" s="145">
        <v>1.5970599999999999</v>
      </c>
      <c r="E26" s="145">
        <v>1.6961900000000001</v>
      </c>
      <c r="F26" s="145" t="s">
        <v>192</v>
      </c>
      <c r="G26" s="145">
        <v>1.7391700000000001</v>
      </c>
      <c r="H26" s="145">
        <v>1.6975100000000001</v>
      </c>
      <c r="I26" s="145">
        <v>1.69665</v>
      </c>
    </row>
    <row r="27" spans="1:9" x14ac:dyDescent="0.25">
      <c r="A27" s="146" t="s">
        <v>191</v>
      </c>
      <c r="B27" s="144">
        <v>41428</v>
      </c>
      <c r="C27" s="144">
        <v>41434</v>
      </c>
      <c r="D27" s="145">
        <v>1.65591</v>
      </c>
      <c r="E27" s="145">
        <v>1.6464700000000001</v>
      </c>
      <c r="F27" s="145" t="s">
        <v>192</v>
      </c>
      <c r="G27" s="145">
        <v>1.68835</v>
      </c>
      <c r="H27" s="145">
        <v>1.6602399999999999</v>
      </c>
      <c r="I27" s="145">
        <v>1.66018</v>
      </c>
    </row>
    <row r="28" spans="1:9" x14ac:dyDescent="0.25">
      <c r="A28" s="146" t="s">
        <v>191</v>
      </c>
      <c r="B28" s="144">
        <v>41435</v>
      </c>
      <c r="C28" s="144">
        <v>41441</v>
      </c>
      <c r="D28" s="145">
        <v>1.66974</v>
      </c>
      <c r="E28" s="145">
        <v>1.64428</v>
      </c>
      <c r="F28" s="145" t="s">
        <v>192</v>
      </c>
      <c r="G28" s="145">
        <v>1.6964900000000001</v>
      </c>
      <c r="H28" s="145">
        <v>1.6582000000000001</v>
      </c>
      <c r="I28" s="145">
        <v>1.66015</v>
      </c>
    </row>
    <row r="29" spans="1:9" x14ac:dyDescent="0.25">
      <c r="A29" s="146" t="s">
        <v>191</v>
      </c>
      <c r="B29" s="144">
        <v>41442</v>
      </c>
      <c r="C29" s="144">
        <v>41448</v>
      </c>
      <c r="D29" s="145">
        <v>1.66109</v>
      </c>
      <c r="E29" s="145">
        <v>1.6534</v>
      </c>
      <c r="F29" s="145" t="s">
        <v>192</v>
      </c>
      <c r="G29" s="145">
        <v>1.69598</v>
      </c>
      <c r="H29" s="145">
        <v>1.6557999999999999</v>
      </c>
      <c r="I29" s="145">
        <v>1.6582999999999999</v>
      </c>
    </row>
    <row r="30" spans="1:9" x14ac:dyDescent="0.25">
      <c r="A30" s="146" t="s">
        <v>191</v>
      </c>
      <c r="B30" s="144">
        <v>41449</v>
      </c>
      <c r="C30" s="144">
        <v>41455</v>
      </c>
      <c r="D30" s="145">
        <v>1.6687000000000001</v>
      </c>
      <c r="E30" s="145">
        <v>1.65208</v>
      </c>
      <c r="F30" s="145" t="s">
        <v>192</v>
      </c>
      <c r="G30" s="145">
        <v>1.6986199999999998</v>
      </c>
      <c r="H30" s="145">
        <v>1.6589800000000001</v>
      </c>
      <c r="I30" s="145">
        <v>1.6610400000000001</v>
      </c>
    </row>
    <row r="31" spans="1:9" x14ac:dyDescent="0.25">
      <c r="A31" s="146" t="s">
        <v>191</v>
      </c>
      <c r="B31" s="144">
        <v>41456</v>
      </c>
      <c r="C31" s="144">
        <v>41462</v>
      </c>
      <c r="D31" s="145">
        <v>1.7087999999999999</v>
      </c>
      <c r="E31" s="145">
        <v>1.7592300000000001</v>
      </c>
      <c r="F31" s="145" t="s">
        <v>192</v>
      </c>
      <c r="G31" s="145">
        <v>1.80257</v>
      </c>
      <c r="H31" s="145">
        <v>1.76617</v>
      </c>
      <c r="I31" s="145">
        <v>1.7627200000000001</v>
      </c>
    </row>
    <row r="32" spans="1:9" x14ac:dyDescent="0.25">
      <c r="A32" s="146" t="s">
        <v>191</v>
      </c>
      <c r="B32" s="144">
        <v>41463</v>
      </c>
      <c r="C32" s="144">
        <v>41469</v>
      </c>
      <c r="D32" s="145">
        <v>1.7718399999999999</v>
      </c>
      <c r="E32" s="145">
        <v>1.7566700000000002</v>
      </c>
      <c r="F32" s="145" t="s">
        <v>192</v>
      </c>
      <c r="G32" s="145">
        <v>1.8064</v>
      </c>
      <c r="H32" s="145">
        <v>1.76475</v>
      </c>
      <c r="I32" s="145">
        <v>1.7670899999999998</v>
      </c>
    </row>
    <row r="33" spans="1:9" x14ac:dyDescent="0.25">
      <c r="A33" s="146" t="s">
        <v>191</v>
      </c>
      <c r="B33" s="144">
        <v>41470</v>
      </c>
      <c r="C33" s="144">
        <v>41476</v>
      </c>
      <c r="D33" s="145">
        <v>1.77318</v>
      </c>
      <c r="E33" s="145">
        <v>1.7621500000000001</v>
      </c>
      <c r="F33" s="145" t="s">
        <v>192</v>
      </c>
      <c r="G33" s="145">
        <v>1.8083399999999998</v>
      </c>
      <c r="H33" s="145">
        <v>1.76827</v>
      </c>
      <c r="I33" s="145">
        <v>1.7709999999999999</v>
      </c>
    </row>
    <row r="34" spans="1:9" x14ac:dyDescent="0.25">
      <c r="A34" s="146" t="s">
        <v>191</v>
      </c>
      <c r="B34" s="144">
        <v>41477</v>
      </c>
      <c r="C34" s="144">
        <v>41483</v>
      </c>
      <c r="D34" s="145">
        <v>1.7735300000000001</v>
      </c>
      <c r="E34" s="145">
        <v>1.75701</v>
      </c>
      <c r="F34" s="145" t="s">
        <v>192</v>
      </c>
      <c r="G34" s="145">
        <v>1.80965</v>
      </c>
      <c r="H34" s="145">
        <v>1.7689999999999999</v>
      </c>
      <c r="I34" s="145">
        <v>1.76939</v>
      </c>
    </row>
    <row r="35" spans="1:9" x14ac:dyDescent="0.25">
      <c r="A35" s="146" t="s">
        <v>191</v>
      </c>
      <c r="B35" s="144">
        <v>41484</v>
      </c>
      <c r="C35" s="144">
        <v>41490</v>
      </c>
      <c r="D35" s="145">
        <v>1.8769899999999999</v>
      </c>
      <c r="E35" s="145">
        <v>1.80715</v>
      </c>
      <c r="F35" s="145" t="s">
        <v>192</v>
      </c>
      <c r="G35" s="145">
        <v>1.8808900000000002</v>
      </c>
      <c r="H35" s="145">
        <v>1.8373599999999999</v>
      </c>
      <c r="I35" s="145">
        <v>1.83856</v>
      </c>
    </row>
    <row r="36" spans="1:9" x14ac:dyDescent="0.25">
      <c r="A36" s="146" t="s">
        <v>191</v>
      </c>
      <c r="B36" s="144">
        <v>41491</v>
      </c>
      <c r="C36" s="144">
        <v>41497</v>
      </c>
      <c r="D36" s="145">
        <v>1.91852</v>
      </c>
      <c r="E36" s="145">
        <v>1.8930799999999999</v>
      </c>
      <c r="F36" s="145" t="s">
        <v>192</v>
      </c>
      <c r="G36" s="145">
        <v>1.9433499999999999</v>
      </c>
      <c r="H36" s="145">
        <v>1.9069700000000001</v>
      </c>
      <c r="I36" s="145">
        <v>1.9081700000000001</v>
      </c>
    </row>
    <row r="37" spans="1:9" x14ac:dyDescent="0.25">
      <c r="A37" s="146" t="s">
        <v>191</v>
      </c>
      <c r="B37" s="144">
        <v>41498</v>
      </c>
      <c r="C37" s="144">
        <v>41504</v>
      </c>
      <c r="D37" s="145">
        <v>1.9223800000000002</v>
      </c>
      <c r="E37" s="145">
        <v>1.8952500000000001</v>
      </c>
      <c r="F37" s="145" t="s">
        <v>192</v>
      </c>
      <c r="G37" s="145">
        <v>1.92553</v>
      </c>
      <c r="H37" s="145">
        <v>1.8998199999999998</v>
      </c>
      <c r="I37" s="145">
        <v>1.9019999999999999</v>
      </c>
    </row>
    <row r="38" spans="1:9" x14ac:dyDescent="0.25">
      <c r="A38" s="146" t="s">
        <v>191</v>
      </c>
      <c r="B38" s="144">
        <v>41505</v>
      </c>
      <c r="C38" s="144">
        <v>41511</v>
      </c>
      <c r="D38" s="145">
        <v>1.9098599999999999</v>
      </c>
      <c r="E38" s="145">
        <v>1.8939900000000001</v>
      </c>
      <c r="F38" s="145" t="s">
        <v>192</v>
      </c>
      <c r="G38" s="145">
        <v>1.9488699999999999</v>
      </c>
      <c r="H38" s="145">
        <v>1.90177</v>
      </c>
      <c r="I38" s="145">
        <v>1.9038900000000001</v>
      </c>
    </row>
    <row r="39" spans="1:9" x14ac:dyDescent="0.25">
      <c r="A39" s="146" t="s">
        <v>191</v>
      </c>
      <c r="B39" s="144">
        <v>41512</v>
      </c>
      <c r="C39" s="144">
        <v>41518</v>
      </c>
      <c r="D39" s="145">
        <v>1.9067400000000001</v>
      </c>
      <c r="E39" s="145">
        <v>1.8972800000000001</v>
      </c>
      <c r="F39" s="145" t="s">
        <v>192</v>
      </c>
      <c r="G39" s="145">
        <v>1.9570999999999998</v>
      </c>
      <c r="H39" s="145">
        <v>1.91126</v>
      </c>
      <c r="I39" s="145">
        <v>1.9128000000000001</v>
      </c>
    </row>
    <row r="40" spans="1:9" x14ac:dyDescent="0.25">
      <c r="A40" s="146" t="s">
        <v>191</v>
      </c>
      <c r="B40" s="144">
        <v>41519</v>
      </c>
      <c r="C40" s="144">
        <v>41525</v>
      </c>
      <c r="D40" s="145">
        <v>1.9983900000000001</v>
      </c>
      <c r="E40" s="145">
        <v>1.9902500000000001</v>
      </c>
      <c r="F40" s="145" t="s">
        <v>192</v>
      </c>
      <c r="G40" s="145">
        <v>2.0340699999999998</v>
      </c>
      <c r="H40" s="145">
        <v>2.0106899999999999</v>
      </c>
      <c r="I40" s="145">
        <v>2.0108000000000001</v>
      </c>
    </row>
    <row r="41" spans="1:9" x14ac:dyDescent="0.25">
      <c r="A41" s="146" t="s">
        <v>191</v>
      </c>
      <c r="B41" s="144">
        <v>41526</v>
      </c>
      <c r="C41" s="144">
        <v>41532</v>
      </c>
      <c r="D41" s="145">
        <v>2.0294300000000001</v>
      </c>
      <c r="E41" s="145">
        <v>2.0050599999999998</v>
      </c>
      <c r="F41" s="145" t="s">
        <v>192</v>
      </c>
      <c r="G41" s="145">
        <v>2.0370599999999999</v>
      </c>
      <c r="H41" s="145">
        <v>2.0075099999999999</v>
      </c>
      <c r="I41" s="145">
        <v>2.0109400000000002</v>
      </c>
    </row>
    <row r="42" spans="1:9" x14ac:dyDescent="0.25">
      <c r="A42" s="146" t="s">
        <v>191</v>
      </c>
      <c r="B42" s="144">
        <v>41533</v>
      </c>
      <c r="C42" s="144">
        <v>41539</v>
      </c>
      <c r="D42" s="145">
        <v>2.0278499999999999</v>
      </c>
      <c r="E42" s="145">
        <v>2.01152</v>
      </c>
      <c r="F42" s="145" t="s">
        <v>192</v>
      </c>
      <c r="G42" s="145">
        <v>2.0597800000000004</v>
      </c>
      <c r="H42" s="145">
        <v>2.00509</v>
      </c>
      <c r="I42" s="145">
        <v>2.0118100000000001</v>
      </c>
    </row>
    <row r="43" spans="1:9" x14ac:dyDescent="0.25">
      <c r="A43" s="146" t="s">
        <v>191</v>
      </c>
      <c r="B43" s="144">
        <v>41540</v>
      </c>
      <c r="C43" s="144">
        <v>41546</v>
      </c>
      <c r="D43" s="145">
        <v>2.03545</v>
      </c>
      <c r="E43" s="145">
        <v>2.0110799999999998</v>
      </c>
      <c r="F43" s="145" t="s">
        <v>192</v>
      </c>
      <c r="G43" s="145">
        <v>2.0574299999999996</v>
      </c>
      <c r="H43" s="145">
        <v>2.01457</v>
      </c>
      <c r="I43" s="145">
        <v>2.0181</v>
      </c>
    </row>
    <row r="44" spans="1:9" x14ac:dyDescent="0.25">
      <c r="A44" s="146" t="s">
        <v>191</v>
      </c>
      <c r="B44" s="144">
        <v>41547</v>
      </c>
      <c r="C44" s="144">
        <v>41553</v>
      </c>
      <c r="D44" s="145">
        <v>2.0230899999999998</v>
      </c>
      <c r="E44" s="145">
        <v>2.01627</v>
      </c>
      <c r="F44" s="145" t="s">
        <v>192</v>
      </c>
      <c r="G44" s="145">
        <v>2.0598200000000002</v>
      </c>
      <c r="H44" s="145">
        <v>2.01946</v>
      </c>
      <c r="I44" s="145">
        <v>2.02251</v>
      </c>
    </row>
    <row r="45" spans="1:9" x14ac:dyDescent="0.25">
      <c r="A45" s="146" t="s">
        <v>191</v>
      </c>
      <c r="B45" s="144">
        <v>41554</v>
      </c>
      <c r="C45" s="144">
        <v>41560</v>
      </c>
      <c r="D45" s="145">
        <v>2.0306500000000001</v>
      </c>
      <c r="E45" s="145">
        <v>2.0162599999999999</v>
      </c>
      <c r="F45" s="145" t="s">
        <v>192</v>
      </c>
      <c r="G45" s="145">
        <v>2.0533800000000002</v>
      </c>
      <c r="H45" s="145">
        <v>2.0181199999999997</v>
      </c>
      <c r="I45" s="145">
        <v>2.0215299999999998</v>
      </c>
    </row>
    <row r="46" spans="1:9" x14ac:dyDescent="0.25">
      <c r="A46" s="146" t="s">
        <v>191</v>
      </c>
      <c r="B46" s="144">
        <v>41561</v>
      </c>
      <c r="C46" s="144">
        <v>41567</v>
      </c>
      <c r="D46" s="145">
        <v>2.0581700000000001</v>
      </c>
      <c r="E46" s="145">
        <v>2.0174799999999999</v>
      </c>
      <c r="F46" s="145" t="s">
        <v>192</v>
      </c>
      <c r="G46" s="145">
        <v>2.0485799999999998</v>
      </c>
      <c r="H46" s="145">
        <v>2.0190999999999999</v>
      </c>
      <c r="I46" s="145">
        <v>2.0230399999999999</v>
      </c>
    </row>
    <row r="47" spans="1:9" x14ac:dyDescent="0.25">
      <c r="A47" s="146" t="s">
        <v>191</v>
      </c>
      <c r="B47" s="144">
        <v>41568</v>
      </c>
      <c r="C47" s="144">
        <v>41574</v>
      </c>
      <c r="D47" s="145">
        <v>2.0213399999999999</v>
      </c>
      <c r="E47" s="145">
        <v>2.0253699999999997</v>
      </c>
      <c r="F47" s="145" t="s">
        <v>192</v>
      </c>
      <c r="G47" s="145">
        <v>2.0580599999999998</v>
      </c>
      <c r="H47" s="145">
        <v>2.0190000000000001</v>
      </c>
      <c r="I47" s="145">
        <v>2.0224000000000002</v>
      </c>
    </row>
    <row r="48" spans="1:9" x14ac:dyDescent="0.25">
      <c r="A48" s="146" t="s">
        <v>191</v>
      </c>
      <c r="B48" s="144">
        <v>41575</v>
      </c>
      <c r="C48" s="144">
        <v>41581</v>
      </c>
      <c r="D48" s="145">
        <v>1.99522</v>
      </c>
      <c r="E48" s="145">
        <v>1.9388299999999998</v>
      </c>
      <c r="F48" s="145" t="s">
        <v>192</v>
      </c>
      <c r="G48" s="145">
        <v>2.0475300000000001</v>
      </c>
      <c r="H48" s="145">
        <v>1.97824</v>
      </c>
      <c r="I48" s="145">
        <v>1.9785999999999999</v>
      </c>
    </row>
    <row r="49" spans="1:9" x14ac:dyDescent="0.25">
      <c r="A49" s="146" t="s">
        <v>191</v>
      </c>
      <c r="B49" s="144">
        <v>41582</v>
      </c>
      <c r="C49" s="144">
        <v>41588</v>
      </c>
      <c r="D49" s="145">
        <v>1.8783299999999998</v>
      </c>
      <c r="E49" s="145">
        <v>1.8692800000000001</v>
      </c>
      <c r="F49" s="145" t="s">
        <v>192</v>
      </c>
      <c r="G49" s="145">
        <v>1.91252</v>
      </c>
      <c r="H49" s="145">
        <v>1.88365</v>
      </c>
      <c r="I49" s="145">
        <v>1.88249</v>
      </c>
    </row>
    <row r="50" spans="1:9" x14ac:dyDescent="0.25">
      <c r="A50" s="146" t="s">
        <v>191</v>
      </c>
      <c r="B50" s="144">
        <v>41589</v>
      </c>
      <c r="C50" s="144">
        <v>41595</v>
      </c>
      <c r="D50" s="145">
        <v>1.8994599999999999</v>
      </c>
      <c r="E50" s="145">
        <v>1.8640000000000001</v>
      </c>
      <c r="F50" s="145" t="s">
        <v>192</v>
      </c>
      <c r="G50" s="145">
        <v>1.9122399999999999</v>
      </c>
      <c r="H50" s="145">
        <v>1.88239</v>
      </c>
      <c r="I50" s="145">
        <v>1.8834000000000002</v>
      </c>
    </row>
    <row r="51" spans="1:9" x14ac:dyDescent="0.25">
      <c r="A51" s="146" t="s">
        <v>191</v>
      </c>
      <c r="B51" s="144">
        <v>41596</v>
      </c>
      <c r="C51" s="144">
        <v>41602</v>
      </c>
      <c r="D51" s="145">
        <v>1.87293</v>
      </c>
      <c r="E51" s="145">
        <v>1.8610499999999999</v>
      </c>
      <c r="F51" s="145" t="s">
        <v>192</v>
      </c>
      <c r="G51" s="145">
        <v>1.91391</v>
      </c>
      <c r="H51" s="145">
        <v>1.8843299999999998</v>
      </c>
      <c r="I51" s="145">
        <v>1.88388</v>
      </c>
    </row>
    <row r="52" spans="1:9" x14ac:dyDescent="0.25">
      <c r="A52" s="146" t="s">
        <v>191</v>
      </c>
      <c r="B52" s="144">
        <v>41603</v>
      </c>
      <c r="C52" s="144">
        <v>41609</v>
      </c>
      <c r="D52" s="145">
        <v>1.8840399999999999</v>
      </c>
      <c r="E52" s="145">
        <v>1.86896</v>
      </c>
      <c r="F52" s="145" t="s">
        <v>192</v>
      </c>
      <c r="G52" s="145">
        <v>1.92519</v>
      </c>
      <c r="H52" s="145">
        <v>1.87914</v>
      </c>
      <c r="I52" s="145">
        <v>1.88066</v>
      </c>
    </row>
    <row r="53" spans="1:9" x14ac:dyDescent="0.25">
      <c r="A53" s="146" t="s">
        <v>191</v>
      </c>
      <c r="B53" s="144">
        <v>41610</v>
      </c>
      <c r="C53" s="144">
        <v>41616</v>
      </c>
      <c r="D53" s="145">
        <v>1.9044400000000001</v>
      </c>
      <c r="E53" s="145">
        <v>1.8779100000000002</v>
      </c>
      <c r="F53" s="145" t="s">
        <v>192</v>
      </c>
      <c r="G53" s="145">
        <v>1.90924</v>
      </c>
      <c r="H53" s="145">
        <v>1.8849</v>
      </c>
      <c r="I53" s="145">
        <v>1.88592</v>
      </c>
    </row>
    <row r="54" spans="1:9" x14ac:dyDescent="0.25">
      <c r="A54" s="146" t="s">
        <v>191</v>
      </c>
      <c r="B54" s="144">
        <v>41617</v>
      </c>
      <c r="C54" s="144">
        <v>41623</v>
      </c>
      <c r="D54" s="145">
        <v>1.89774</v>
      </c>
      <c r="E54" s="145">
        <v>1.85955</v>
      </c>
      <c r="F54" s="145" t="s">
        <v>192</v>
      </c>
      <c r="G54" s="145">
        <v>1.92658</v>
      </c>
      <c r="H54" s="145">
        <v>1.8923800000000002</v>
      </c>
      <c r="I54" s="145">
        <v>1.8922399999999999</v>
      </c>
    </row>
    <row r="55" spans="1:9" x14ac:dyDescent="0.25">
      <c r="A55" s="146" t="s">
        <v>191</v>
      </c>
      <c r="B55" s="144">
        <v>41624</v>
      </c>
      <c r="C55" s="144">
        <v>41630</v>
      </c>
      <c r="D55" s="145">
        <v>1.8917899999999999</v>
      </c>
      <c r="E55" s="145">
        <v>1.8815299999999999</v>
      </c>
      <c r="F55" s="145" t="s">
        <v>192</v>
      </c>
      <c r="G55" s="145">
        <v>1.92902</v>
      </c>
      <c r="H55" s="145">
        <v>1.8880999999999999</v>
      </c>
      <c r="I55" s="145">
        <v>1.8889800000000001</v>
      </c>
    </row>
    <row r="56" spans="1:9" x14ac:dyDescent="0.25">
      <c r="A56" s="146" t="s">
        <v>191</v>
      </c>
      <c r="B56" s="144">
        <v>41631</v>
      </c>
      <c r="C56" s="144">
        <v>41637</v>
      </c>
      <c r="D56" s="145">
        <v>1.88486</v>
      </c>
      <c r="E56" s="145">
        <v>1.88395</v>
      </c>
      <c r="F56" s="145" t="s">
        <v>192</v>
      </c>
      <c r="G56" s="145">
        <v>1.91662</v>
      </c>
      <c r="H56" s="145">
        <v>1.88693</v>
      </c>
      <c r="I56" s="145">
        <v>1.88771</v>
      </c>
    </row>
    <row r="57" spans="1:9" x14ac:dyDescent="0.25">
      <c r="A57" s="146" t="s">
        <v>191</v>
      </c>
      <c r="B57" s="144">
        <v>41638</v>
      </c>
      <c r="C57" s="144">
        <v>41644</v>
      </c>
      <c r="D57" s="145">
        <v>1.95699</v>
      </c>
      <c r="E57" s="145">
        <v>1.96173</v>
      </c>
      <c r="F57" s="145" t="s">
        <v>192</v>
      </c>
      <c r="G57" s="145">
        <v>2.01633</v>
      </c>
      <c r="H57" s="145">
        <v>1.9726300000000001</v>
      </c>
      <c r="I57" s="145">
        <v>1.97272</v>
      </c>
    </row>
    <row r="58" spans="1:9" x14ac:dyDescent="0.25">
      <c r="A58" s="146" t="s">
        <v>191</v>
      </c>
      <c r="B58" s="144">
        <v>41645</v>
      </c>
      <c r="C58" s="144">
        <v>41651</v>
      </c>
      <c r="D58" s="145">
        <v>2.0220099999999999</v>
      </c>
      <c r="E58" s="145">
        <v>2.0047899999999998</v>
      </c>
      <c r="F58" s="145" t="s">
        <v>192</v>
      </c>
      <c r="G58" s="145">
        <v>2.0501100000000001</v>
      </c>
      <c r="H58" s="145">
        <v>2.0102099999999998</v>
      </c>
      <c r="I58" s="145">
        <v>2.01308</v>
      </c>
    </row>
    <row r="59" spans="1:9" x14ac:dyDescent="0.25">
      <c r="A59" s="146" t="s">
        <v>191</v>
      </c>
      <c r="B59" s="144">
        <v>41652</v>
      </c>
      <c r="C59" s="144">
        <v>41658</v>
      </c>
      <c r="D59" s="145">
        <v>2.02257</v>
      </c>
      <c r="E59" s="145">
        <v>1.99092</v>
      </c>
      <c r="F59" s="145" t="s">
        <v>192</v>
      </c>
      <c r="G59" s="145">
        <v>2.0388099999999998</v>
      </c>
      <c r="H59" s="145">
        <v>2.0108299999999999</v>
      </c>
      <c r="I59" s="145">
        <v>2.0094799999999999</v>
      </c>
    </row>
    <row r="60" spans="1:9" x14ac:dyDescent="0.25">
      <c r="A60" s="146" t="s">
        <v>191</v>
      </c>
      <c r="B60" s="144">
        <v>41659</v>
      </c>
      <c r="C60" s="144">
        <v>41665</v>
      </c>
      <c r="D60" s="145">
        <v>2.0226199999999999</v>
      </c>
      <c r="E60" s="145">
        <v>2.0095000000000001</v>
      </c>
      <c r="F60" s="145" t="s">
        <v>192</v>
      </c>
      <c r="G60" s="145">
        <v>2.0519400000000001</v>
      </c>
      <c r="H60" s="145">
        <v>2.0149400000000002</v>
      </c>
      <c r="I60" s="145">
        <v>2.0176600000000002</v>
      </c>
    </row>
    <row r="61" spans="1:9" x14ac:dyDescent="0.25">
      <c r="A61" s="146" t="s">
        <v>191</v>
      </c>
      <c r="B61" s="144">
        <v>41666</v>
      </c>
      <c r="C61" s="144">
        <v>41672</v>
      </c>
      <c r="D61" s="145">
        <v>2.0433300000000001</v>
      </c>
      <c r="E61" s="145">
        <v>1.9802899999999999</v>
      </c>
      <c r="F61" s="145" t="s">
        <v>192</v>
      </c>
      <c r="G61" s="145">
        <v>2.04758</v>
      </c>
      <c r="H61" s="145">
        <v>2.01837</v>
      </c>
      <c r="I61" s="145">
        <v>2.0145499999999998</v>
      </c>
    </row>
    <row r="62" spans="1:9" x14ac:dyDescent="0.25">
      <c r="A62" s="146" t="s">
        <v>191</v>
      </c>
      <c r="B62" s="144">
        <v>41673</v>
      </c>
      <c r="C62" s="144">
        <v>41679</v>
      </c>
      <c r="D62" s="145">
        <v>2.0355400000000001</v>
      </c>
      <c r="E62" s="145">
        <v>2.0127700000000002</v>
      </c>
      <c r="F62" s="145" t="s">
        <v>192</v>
      </c>
      <c r="G62" s="145">
        <v>2.06081</v>
      </c>
      <c r="H62" s="145">
        <v>2.0253100000000002</v>
      </c>
      <c r="I62" s="145">
        <v>2.0248200000000001</v>
      </c>
    </row>
    <row r="63" spans="1:9" x14ac:dyDescent="0.25">
      <c r="A63" s="146" t="s">
        <v>191</v>
      </c>
      <c r="B63" s="144">
        <v>41680</v>
      </c>
      <c r="C63" s="144">
        <v>41686</v>
      </c>
      <c r="D63" s="145">
        <v>2.0354999999999999</v>
      </c>
      <c r="E63" s="145">
        <v>1.9981300000000002</v>
      </c>
      <c r="F63" s="145" t="s">
        <v>192</v>
      </c>
      <c r="G63" s="145">
        <v>2.0599400000000001</v>
      </c>
      <c r="H63" s="145">
        <v>2.02596</v>
      </c>
      <c r="I63" s="145">
        <v>2.0282300000000002</v>
      </c>
    </row>
    <row r="64" spans="1:9" x14ac:dyDescent="0.25">
      <c r="A64" s="146" t="s">
        <v>191</v>
      </c>
      <c r="B64" s="144">
        <v>41687</v>
      </c>
      <c r="C64" s="144">
        <v>41693</v>
      </c>
      <c r="D64" s="145">
        <v>2.05124</v>
      </c>
      <c r="E64" s="145">
        <v>2.0205299999999999</v>
      </c>
      <c r="F64" s="145" t="s">
        <v>192</v>
      </c>
      <c r="G64" s="145">
        <v>2.0583100000000001</v>
      </c>
      <c r="H64" s="145">
        <v>2.02725</v>
      </c>
      <c r="I64" s="145">
        <v>2.0289100000000002</v>
      </c>
    </row>
    <row r="65" spans="1:9" x14ac:dyDescent="0.25">
      <c r="A65" s="146" t="s">
        <v>191</v>
      </c>
      <c r="B65" s="144">
        <v>41694</v>
      </c>
      <c r="C65" s="144">
        <v>41700</v>
      </c>
      <c r="D65" s="145">
        <v>2.0665200000000001</v>
      </c>
      <c r="E65" s="145">
        <v>2.01227</v>
      </c>
      <c r="F65" s="145" t="s">
        <v>192</v>
      </c>
      <c r="G65" s="145">
        <v>2.0684699999999996</v>
      </c>
      <c r="H65" s="145">
        <v>2.0403099999999998</v>
      </c>
      <c r="I65" s="145">
        <v>2.03912</v>
      </c>
    </row>
    <row r="66" spans="1:9" x14ac:dyDescent="0.25">
      <c r="A66" s="146" t="s">
        <v>191</v>
      </c>
      <c r="B66" s="144">
        <v>41701</v>
      </c>
      <c r="C66" s="144">
        <v>41707</v>
      </c>
      <c r="D66" s="145">
        <v>2.0776999999999997</v>
      </c>
      <c r="E66" s="145">
        <v>2.06088</v>
      </c>
      <c r="F66" s="145" t="s">
        <v>192</v>
      </c>
      <c r="G66" s="145">
        <v>2.0945800000000001</v>
      </c>
      <c r="H66" s="145">
        <v>2.0711300000000001</v>
      </c>
      <c r="I66" s="145">
        <v>2.0724399999999998</v>
      </c>
    </row>
    <row r="67" spans="1:9" x14ac:dyDescent="0.25">
      <c r="A67" s="146" t="s">
        <v>191</v>
      </c>
      <c r="B67" s="144">
        <v>41708</v>
      </c>
      <c r="C67" s="144">
        <v>41714</v>
      </c>
      <c r="D67" s="145">
        <v>2.0766100000000001</v>
      </c>
      <c r="E67" s="145">
        <v>2.0489600000000001</v>
      </c>
      <c r="F67" s="145" t="s">
        <v>192</v>
      </c>
      <c r="G67" s="145">
        <v>2.0999899999999996</v>
      </c>
      <c r="H67" s="145">
        <v>2.0696500000000002</v>
      </c>
      <c r="I67" s="145">
        <v>2.0708600000000001</v>
      </c>
    </row>
    <row r="68" spans="1:9" x14ac:dyDescent="0.25">
      <c r="A68" s="146" t="s">
        <v>191</v>
      </c>
      <c r="B68" s="144">
        <v>41715</v>
      </c>
      <c r="C68" s="144">
        <v>41721</v>
      </c>
      <c r="D68" s="145">
        <v>2.08927</v>
      </c>
      <c r="E68" s="145">
        <v>2.0450999999999997</v>
      </c>
      <c r="F68" s="145" t="s">
        <v>192</v>
      </c>
      <c r="G68" s="145">
        <v>2.10711</v>
      </c>
      <c r="H68" s="145">
        <v>2.07212</v>
      </c>
      <c r="I68" s="145">
        <v>2.0714800000000002</v>
      </c>
    </row>
    <row r="69" spans="1:9" x14ac:dyDescent="0.25">
      <c r="A69" s="146" t="s">
        <v>191</v>
      </c>
      <c r="B69" s="144">
        <v>41722</v>
      </c>
      <c r="C69" s="144">
        <v>41728</v>
      </c>
      <c r="D69" s="145">
        <v>2.0805100000000003</v>
      </c>
      <c r="E69" s="145">
        <v>2.0509299999999997</v>
      </c>
      <c r="F69" s="145" t="s">
        <v>192</v>
      </c>
      <c r="G69" s="145">
        <v>2.1185</v>
      </c>
      <c r="H69" s="145">
        <v>2.0741900000000002</v>
      </c>
      <c r="I69" s="145">
        <v>2.07362</v>
      </c>
    </row>
    <row r="70" spans="1:9" x14ac:dyDescent="0.25">
      <c r="A70" s="146" t="s">
        <v>191</v>
      </c>
      <c r="B70" s="144">
        <v>41729</v>
      </c>
      <c r="C70" s="144">
        <v>41735</v>
      </c>
      <c r="D70" s="145">
        <v>2.0192700000000001</v>
      </c>
      <c r="E70" s="145">
        <v>1.9880899999999999</v>
      </c>
      <c r="F70" s="145" t="s">
        <v>192</v>
      </c>
      <c r="G70" s="145">
        <v>2.0661399999999999</v>
      </c>
      <c r="H70" s="145">
        <v>2.02033</v>
      </c>
      <c r="I70" s="145">
        <v>2.0174699999999999</v>
      </c>
    </row>
    <row r="71" spans="1:9" x14ac:dyDescent="0.25">
      <c r="A71" s="146" t="s">
        <v>191</v>
      </c>
      <c r="B71" s="144">
        <v>41736</v>
      </c>
      <c r="C71" s="144">
        <v>41742</v>
      </c>
      <c r="D71" s="145">
        <v>2.0018199999999999</v>
      </c>
      <c r="E71" s="145">
        <v>1.98939</v>
      </c>
      <c r="F71" s="145" t="s">
        <v>192</v>
      </c>
      <c r="G71" s="145">
        <v>2.0415700000000001</v>
      </c>
      <c r="H71" s="145">
        <v>2.0124900000000001</v>
      </c>
      <c r="I71" s="145">
        <v>2.0120399999999998</v>
      </c>
    </row>
    <row r="72" spans="1:9" x14ac:dyDescent="0.25">
      <c r="A72" s="146" t="s">
        <v>191</v>
      </c>
      <c r="B72" s="144">
        <v>41743</v>
      </c>
      <c r="C72" s="144">
        <v>41749</v>
      </c>
      <c r="D72" s="145">
        <v>2.0177299999999998</v>
      </c>
      <c r="E72" s="145">
        <v>1.9874400000000001</v>
      </c>
      <c r="F72" s="145" t="s">
        <v>192</v>
      </c>
      <c r="G72" s="145">
        <v>2.0443699999999998</v>
      </c>
      <c r="H72" s="145">
        <v>2.0026099999999998</v>
      </c>
      <c r="I72" s="145">
        <v>2.0038900000000002</v>
      </c>
    </row>
    <row r="73" spans="1:9" x14ac:dyDescent="0.25">
      <c r="A73" s="146" t="s">
        <v>191</v>
      </c>
      <c r="B73" s="144">
        <v>41750</v>
      </c>
      <c r="C73" s="144">
        <v>41756</v>
      </c>
      <c r="D73" s="145">
        <v>2.0077099999999999</v>
      </c>
      <c r="E73" s="145">
        <v>1.9795099999999999</v>
      </c>
      <c r="F73" s="145" t="s">
        <v>192</v>
      </c>
      <c r="G73" s="145">
        <v>2.0476300000000003</v>
      </c>
      <c r="H73" s="145">
        <v>2.0056600000000002</v>
      </c>
      <c r="I73" s="145">
        <v>2.0042399999999998</v>
      </c>
    </row>
    <row r="74" spans="1:9" x14ac:dyDescent="0.25">
      <c r="A74" s="146" t="s">
        <v>191</v>
      </c>
      <c r="B74" s="144">
        <v>41757</v>
      </c>
      <c r="C74" s="144">
        <v>41763</v>
      </c>
      <c r="D74" s="145">
        <v>2.0019499999999999</v>
      </c>
      <c r="E74" s="145">
        <v>1.9279200000000001</v>
      </c>
      <c r="F74" s="145" t="s">
        <v>192</v>
      </c>
      <c r="G74" s="145">
        <v>2.0090499999999998</v>
      </c>
      <c r="H74" s="145">
        <v>1.9595199999999999</v>
      </c>
      <c r="I74" s="145">
        <v>1.96261</v>
      </c>
    </row>
    <row r="75" spans="1:9" x14ac:dyDescent="0.25">
      <c r="A75" s="146" t="s">
        <v>191</v>
      </c>
      <c r="B75" s="144">
        <v>41764</v>
      </c>
      <c r="C75" s="144">
        <v>41770</v>
      </c>
      <c r="D75" s="145">
        <v>1.8957899999999999</v>
      </c>
      <c r="E75" s="145">
        <v>1.8795500000000001</v>
      </c>
      <c r="F75" s="145" t="s">
        <v>192</v>
      </c>
      <c r="G75" s="145">
        <v>1.9632100000000001</v>
      </c>
      <c r="H75" s="145">
        <v>1.9180200000000001</v>
      </c>
      <c r="I75" s="145">
        <v>1.9153800000000001</v>
      </c>
    </row>
    <row r="76" spans="1:9" x14ac:dyDescent="0.25">
      <c r="A76" s="146" t="s">
        <v>191</v>
      </c>
      <c r="B76" s="144">
        <v>41771</v>
      </c>
      <c r="C76" s="144">
        <v>41777</v>
      </c>
      <c r="D76" s="145">
        <v>1.9130499999999999</v>
      </c>
      <c r="E76" s="145">
        <v>1.8937599999999999</v>
      </c>
      <c r="F76" s="145" t="s">
        <v>192</v>
      </c>
      <c r="G76" s="145">
        <v>1.95255</v>
      </c>
      <c r="H76" s="145">
        <v>1.9199200000000001</v>
      </c>
      <c r="I76" s="145">
        <v>1.92022</v>
      </c>
    </row>
    <row r="77" spans="1:9" x14ac:dyDescent="0.25">
      <c r="A77" s="146" t="s">
        <v>191</v>
      </c>
      <c r="B77" s="144">
        <v>41778</v>
      </c>
      <c r="C77" s="144">
        <v>41784</v>
      </c>
      <c r="D77" s="145">
        <v>1.9189500000000002</v>
      </c>
      <c r="E77" s="145">
        <v>1.8716400000000002</v>
      </c>
      <c r="F77" s="145" t="s">
        <v>192</v>
      </c>
      <c r="G77" s="145">
        <v>1.96027</v>
      </c>
      <c r="H77" s="145">
        <v>1.90648</v>
      </c>
      <c r="I77" s="145">
        <v>1.9053099999999998</v>
      </c>
    </row>
    <row r="78" spans="1:9" x14ac:dyDescent="0.25">
      <c r="A78" s="146" t="s">
        <v>191</v>
      </c>
      <c r="B78" s="144">
        <v>41785</v>
      </c>
      <c r="C78" s="144">
        <v>41791</v>
      </c>
      <c r="D78" s="145">
        <v>1.91117</v>
      </c>
      <c r="E78" s="145">
        <v>1.8936600000000001</v>
      </c>
      <c r="F78" s="145" t="s">
        <v>192</v>
      </c>
      <c r="G78" s="145">
        <v>1.9369000000000001</v>
      </c>
      <c r="H78" s="145">
        <v>1.90605</v>
      </c>
      <c r="I78" s="145">
        <v>1.9061900000000001</v>
      </c>
    </row>
    <row r="79" spans="1:9" x14ac:dyDescent="0.25">
      <c r="A79" s="146" t="s">
        <v>191</v>
      </c>
      <c r="B79" s="144">
        <v>41792</v>
      </c>
      <c r="C79" s="144">
        <v>41798</v>
      </c>
      <c r="D79" s="145">
        <v>1.8922000000000001</v>
      </c>
      <c r="E79" s="145">
        <v>1.8710599999999999</v>
      </c>
      <c r="F79" s="145" t="s">
        <v>192</v>
      </c>
      <c r="G79" s="145">
        <v>1.93292</v>
      </c>
      <c r="H79" s="145">
        <v>1.8948199999999999</v>
      </c>
      <c r="I79" s="145">
        <v>1.89679</v>
      </c>
    </row>
    <row r="80" spans="1:9" x14ac:dyDescent="0.25">
      <c r="A80" s="146" t="s">
        <v>191</v>
      </c>
      <c r="B80" s="144">
        <v>41799</v>
      </c>
      <c r="C80" s="144">
        <v>41805</v>
      </c>
      <c r="D80" s="145">
        <v>1.8810899999999999</v>
      </c>
      <c r="E80" s="145">
        <v>1.85636</v>
      </c>
      <c r="F80" s="145" t="s">
        <v>192</v>
      </c>
      <c r="G80" s="145">
        <v>1.92628</v>
      </c>
      <c r="H80" s="145">
        <v>1.89191</v>
      </c>
      <c r="I80" s="145">
        <v>1.88676</v>
      </c>
    </row>
    <row r="81" spans="1:9" x14ac:dyDescent="0.25">
      <c r="A81" s="146" t="s">
        <v>191</v>
      </c>
      <c r="B81" s="144">
        <v>41806</v>
      </c>
      <c r="C81" s="144">
        <v>41812</v>
      </c>
      <c r="D81" s="145">
        <v>1.8862699999999999</v>
      </c>
      <c r="E81" s="145">
        <v>1.8566199999999999</v>
      </c>
      <c r="F81" s="145" t="s">
        <v>192</v>
      </c>
      <c r="G81" s="145">
        <v>1.92547</v>
      </c>
      <c r="H81" s="145">
        <v>1.8946700000000001</v>
      </c>
      <c r="I81" s="145">
        <v>1.88981</v>
      </c>
    </row>
    <row r="82" spans="1:9" x14ac:dyDescent="0.25">
      <c r="A82" s="146" t="s">
        <v>191</v>
      </c>
      <c r="B82" s="144">
        <v>41813</v>
      </c>
      <c r="C82" s="144">
        <v>41819</v>
      </c>
      <c r="D82" s="145">
        <v>1.9007700000000001</v>
      </c>
      <c r="E82" s="145">
        <v>1.8455599999999999</v>
      </c>
      <c r="F82" s="145" t="s">
        <v>192</v>
      </c>
      <c r="G82" s="145">
        <v>1.92194</v>
      </c>
      <c r="H82" s="145">
        <v>1.8694000000000002</v>
      </c>
      <c r="I82" s="145">
        <v>1.8693199999999999</v>
      </c>
    </row>
    <row r="83" spans="1:9" x14ac:dyDescent="0.25">
      <c r="A83" s="146" t="s">
        <v>191</v>
      </c>
      <c r="B83" s="144">
        <v>41820</v>
      </c>
      <c r="C83" s="144">
        <v>41826</v>
      </c>
      <c r="D83" s="145">
        <v>1.8953199999999999</v>
      </c>
      <c r="E83" s="145">
        <v>1.8875500000000001</v>
      </c>
      <c r="F83" s="145" t="s">
        <v>192</v>
      </c>
      <c r="G83" s="145">
        <v>1.94455</v>
      </c>
      <c r="H83" s="145">
        <v>1.9124400000000001</v>
      </c>
      <c r="I83" s="145">
        <v>1.9122300000000001</v>
      </c>
    </row>
    <row r="84" spans="1:9" x14ac:dyDescent="0.25">
      <c r="A84" s="146" t="s">
        <v>191</v>
      </c>
      <c r="B84" s="144">
        <v>41827</v>
      </c>
      <c r="C84" s="144">
        <v>41833</v>
      </c>
      <c r="D84" s="145">
        <v>1.9068800000000001</v>
      </c>
      <c r="E84" s="145">
        <v>1.87744</v>
      </c>
      <c r="F84" s="145" t="s">
        <v>192</v>
      </c>
      <c r="G84" s="145">
        <v>1.95716</v>
      </c>
      <c r="H84" s="145">
        <v>1.92031</v>
      </c>
      <c r="I84" s="145">
        <v>1.91147</v>
      </c>
    </row>
    <row r="85" spans="1:9" x14ac:dyDescent="0.25">
      <c r="A85" s="146" t="s">
        <v>191</v>
      </c>
      <c r="B85" s="144">
        <v>41834</v>
      </c>
      <c r="C85" s="144">
        <v>41840</v>
      </c>
      <c r="D85" s="145">
        <v>1.89815</v>
      </c>
      <c r="E85" s="145">
        <v>1.8583099999999999</v>
      </c>
      <c r="F85" s="145" t="s">
        <v>192</v>
      </c>
      <c r="G85" s="145">
        <v>1.9541300000000001</v>
      </c>
      <c r="H85" s="145">
        <v>1.9122999999999999</v>
      </c>
      <c r="I85" s="145">
        <v>1.9083599999999998</v>
      </c>
    </row>
    <row r="86" spans="1:9" x14ac:dyDescent="0.25">
      <c r="A86" s="146" t="s">
        <v>191</v>
      </c>
      <c r="B86" s="144">
        <v>41841</v>
      </c>
      <c r="C86" s="144">
        <v>41847</v>
      </c>
      <c r="D86" s="145">
        <v>1.9149800000000001</v>
      </c>
      <c r="E86" s="145">
        <v>1.89655</v>
      </c>
      <c r="F86" s="145" t="s">
        <v>192</v>
      </c>
      <c r="G86" s="145">
        <v>1.9473199999999999</v>
      </c>
      <c r="H86" s="145">
        <v>1.9129400000000001</v>
      </c>
      <c r="I86" s="145">
        <v>1.9145799999999999</v>
      </c>
    </row>
    <row r="87" spans="1:9" x14ac:dyDescent="0.25">
      <c r="A87" s="146" t="s">
        <v>191</v>
      </c>
      <c r="B87" s="144">
        <v>41848</v>
      </c>
      <c r="C87" s="144">
        <v>41854</v>
      </c>
      <c r="D87" s="145">
        <v>1.9055299999999999</v>
      </c>
      <c r="E87" s="145">
        <v>1.88805</v>
      </c>
      <c r="F87" s="145" t="s">
        <v>192</v>
      </c>
      <c r="G87" s="145">
        <v>1.94506</v>
      </c>
      <c r="H87" s="145">
        <v>1.90615</v>
      </c>
      <c r="I87" s="145">
        <v>1.9074500000000001</v>
      </c>
    </row>
    <row r="88" spans="1:9" x14ac:dyDescent="0.25">
      <c r="A88" s="146" t="s">
        <v>191</v>
      </c>
      <c r="B88" s="144">
        <v>41855</v>
      </c>
      <c r="C88" s="144">
        <v>41861</v>
      </c>
      <c r="D88" s="145">
        <v>1.8754300000000002</v>
      </c>
      <c r="E88" s="145">
        <v>1.8794900000000001</v>
      </c>
      <c r="F88" s="145" t="s">
        <v>192</v>
      </c>
      <c r="G88" s="145">
        <v>1.94357</v>
      </c>
      <c r="H88" s="145">
        <v>1.90533</v>
      </c>
      <c r="I88" s="145">
        <v>1.90483</v>
      </c>
    </row>
    <row r="89" spans="1:9" x14ac:dyDescent="0.25">
      <c r="A89" s="146" t="s">
        <v>191</v>
      </c>
      <c r="B89" s="144">
        <v>41862</v>
      </c>
      <c r="C89" s="144">
        <v>41868</v>
      </c>
      <c r="D89" s="145">
        <v>1.8817600000000001</v>
      </c>
      <c r="E89" s="145">
        <v>1.8704700000000001</v>
      </c>
      <c r="F89" s="145" t="s">
        <v>192</v>
      </c>
      <c r="G89" s="145">
        <v>1.94249</v>
      </c>
      <c r="H89" s="145">
        <v>1.9072100000000001</v>
      </c>
      <c r="I89" s="145">
        <v>1.90019</v>
      </c>
    </row>
    <row r="90" spans="1:9" x14ac:dyDescent="0.25">
      <c r="A90" s="146" t="s">
        <v>191</v>
      </c>
      <c r="B90" s="144">
        <v>41869</v>
      </c>
      <c r="C90" s="144">
        <v>41875</v>
      </c>
      <c r="D90" s="145">
        <v>1.8854600000000001</v>
      </c>
      <c r="E90" s="145">
        <v>1.8782999999999999</v>
      </c>
      <c r="F90" s="145" t="s">
        <v>192</v>
      </c>
      <c r="G90" s="145">
        <v>1.94631</v>
      </c>
      <c r="H90" s="145">
        <v>1.90448</v>
      </c>
      <c r="I90" s="145">
        <v>1.90384</v>
      </c>
    </row>
    <row r="91" spans="1:9" x14ac:dyDescent="0.25">
      <c r="A91" s="146" t="s">
        <v>191</v>
      </c>
      <c r="B91" s="144">
        <v>41876</v>
      </c>
      <c r="C91" s="144">
        <v>41882</v>
      </c>
      <c r="D91" s="145">
        <v>1.8913499999999999</v>
      </c>
      <c r="E91" s="145">
        <v>1.8745999999999998</v>
      </c>
      <c r="F91" s="145" t="s">
        <v>192</v>
      </c>
      <c r="G91" s="145">
        <v>1.92954</v>
      </c>
      <c r="H91" s="145">
        <v>1.8945000000000001</v>
      </c>
      <c r="I91" s="145">
        <v>1.89317</v>
      </c>
    </row>
    <row r="92" spans="1:9" x14ac:dyDescent="0.25">
      <c r="A92" s="146" t="s">
        <v>191</v>
      </c>
      <c r="B92" s="144">
        <v>41883</v>
      </c>
      <c r="C92" s="144">
        <v>41889</v>
      </c>
      <c r="D92" s="145">
        <v>1.9106700000000001</v>
      </c>
      <c r="E92" s="145">
        <v>1.89588</v>
      </c>
      <c r="F92" s="145" t="s">
        <v>192</v>
      </c>
      <c r="G92" s="145">
        <v>1.96279</v>
      </c>
      <c r="H92" s="145">
        <v>1.9354100000000001</v>
      </c>
      <c r="I92" s="145">
        <v>1.9337899999999999</v>
      </c>
    </row>
    <row r="93" spans="1:9" x14ac:dyDescent="0.25">
      <c r="A93" s="146" t="s">
        <v>191</v>
      </c>
      <c r="B93" s="144">
        <v>41890</v>
      </c>
      <c r="C93" s="144">
        <v>41896</v>
      </c>
      <c r="D93" s="145">
        <v>1.91432</v>
      </c>
      <c r="E93" s="145">
        <v>1.89825</v>
      </c>
      <c r="F93" s="145" t="s">
        <v>192</v>
      </c>
      <c r="G93" s="145">
        <v>1.9636900000000002</v>
      </c>
      <c r="H93" s="145">
        <v>1.9276</v>
      </c>
      <c r="I93" s="145">
        <v>1.9228900000000002</v>
      </c>
    </row>
    <row r="94" spans="1:9" x14ac:dyDescent="0.25">
      <c r="A94" s="146" t="s">
        <v>191</v>
      </c>
      <c r="B94" s="144">
        <v>41897</v>
      </c>
      <c r="C94" s="144">
        <v>41903</v>
      </c>
      <c r="D94" s="145">
        <v>1.92439</v>
      </c>
      <c r="E94" s="145">
        <v>1.90873</v>
      </c>
      <c r="F94" s="145" t="s">
        <v>192</v>
      </c>
      <c r="G94" s="145">
        <v>1.9616</v>
      </c>
      <c r="H94" s="145">
        <v>1.92381</v>
      </c>
      <c r="I94" s="145">
        <v>1.925</v>
      </c>
    </row>
    <row r="95" spans="1:9" x14ac:dyDescent="0.25">
      <c r="A95" s="146" t="s">
        <v>191</v>
      </c>
      <c r="B95" s="144">
        <v>41904</v>
      </c>
      <c r="C95" s="144">
        <v>41910</v>
      </c>
      <c r="D95" s="145">
        <v>1.9082399999999999</v>
      </c>
      <c r="E95" s="145">
        <v>1.9017899999999999</v>
      </c>
      <c r="F95" s="145" t="s">
        <v>192</v>
      </c>
      <c r="G95" s="145">
        <v>1.95607</v>
      </c>
      <c r="H95" s="145">
        <v>1.91811</v>
      </c>
      <c r="I95" s="145">
        <v>1.9165699999999999</v>
      </c>
    </row>
    <row r="96" spans="1:9" x14ac:dyDescent="0.25">
      <c r="A96" s="146" t="s">
        <v>191</v>
      </c>
      <c r="B96" s="144">
        <v>41911</v>
      </c>
      <c r="C96" s="144">
        <v>41917</v>
      </c>
      <c r="D96" s="145">
        <v>1.9025999999999998</v>
      </c>
      <c r="E96" s="145">
        <v>1.8898900000000001</v>
      </c>
      <c r="F96" s="145" t="s">
        <v>192</v>
      </c>
      <c r="G96" s="145">
        <v>1.9511800000000001</v>
      </c>
      <c r="H96" s="145">
        <v>1.92258</v>
      </c>
      <c r="I96" s="145">
        <v>1.9196300000000002</v>
      </c>
    </row>
    <row r="97" spans="1:9" x14ac:dyDescent="0.25">
      <c r="A97" s="146" t="s">
        <v>191</v>
      </c>
      <c r="B97" s="144">
        <v>41918</v>
      </c>
      <c r="C97" s="144">
        <v>41924</v>
      </c>
      <c r="D97" s="145">
        <v>1.8898699999999999</v>
      </c>
      <c r="E97" s="145">
        <v>1.89198</v>
      </c>
      <c r="F97" s="145" t="s">
        <v>192</v>
      </c>
      <c r="G97" s="145">
        <v>1.9447300000000001</v>
      </c>
      <c r="H97" s="145">
        <v>1.9169700000000001</v>
      </c>
      <c r="I97" s="145">
        <v>1.9152899999999999</v>
      </c>
    </row>
    <row r="98" spans="1:9" x14ac:dyDescent="0.25">
      <c r="A98" s="146" t="s">
        <v>191</v>
      </c>
      <c r="B98" s="144">
        <v>41925</v>
      </c>
      <c r="C98" s="144">
        <v>41931</v>
      </c>
      <c r="D98" s="145">
        <v>1.90476</v>
      </c>
      <c r="E98" s="145">
        <v>1.8817999999999999</v>
      </c>
      <c r="F98" s="145" t="s">
        <v>192</v>
      </c>
      <c r="G98" s="145">
        <v>1.9426400000000001</v>
      </c>
      <c r="H98" s="145">
        <v>1.92272</v>
      </c>
      <c r="I98" s="145">
        <v>1.9189700000000001</v>
      </c>
    </row>
    <row r="99" spans="1:9" x14ac:dyDescent="0.25">
      <c r="A99" s="146" t="s">
        <v>191</v>
      </c>
      <c r="B99" s="144">
        <v>41932</v>
      </c>
      <c r="C99" s="144">
        <v>41938</v>
      </c>
      <c r="D99" s="145">
        <v>1.9068499999999999</v>
      </c>
      <c r="E99" s="145">
        <v>1.8822399999999999</v>
      </c>
      <c r="F99" s="145" t="s">
        <v>192</v>
      </c>
      <c r="G99" s="145">
        <v>1.9390099999999999</v>
      </c>
      <c r="H99" s="145">
        <v>1.9089700000000001</v>
      </c>
      <c r="I99" s="145">
        <v>1.9075499999999999</v>
      </c>
    </row>
    <row r="100" spans="1:9" x14ac:dyDescent="0.25">
      <c r="A100" s="146" t="s">
        <v>191</v>
      </c>
      <c r="B100" s="144">
        <v>41939</v>
      </c>
      <c r="C100" s="144">
        <v>41945</v>
      </c>
      <c r="D100" s="145">
        <v>1.84432</v>
      </c>
      <c r="E100" s="145">
        <v>1.8813199999999999</v>
      </c>
      <c r="F100" s="145" t="s">
        <v>192</v>
      </c>
      <c r="G100" s="145">
        <v>1.94309</v>
      </c>
      <c r="H100" s="145">
        <v>1.90306</v>
      </c>
      <c r="I100" s="145">
        <v>1.8959699999999999</v>
      </c>
    </row>
    <row r="101" spans="1:9" x14ac:dyDescent="0.25">
      <c r="A101" s="146" t="s">
        <v>191</v>
      </c>
      <c r="B101" s="144">
        <v>41946</v>
      </c>
      <c r="C101" s="144">
        <v>41952</v>
      </c>
      <c r="D101" s="145">
        <v>1.8423699999999998</v>
      </c>
      <c r="E101" s="145">
        <v>1.8415699999999999</v>
      </c>
      <c r="F101" s="145" t="s">
        <v>192</v>
      </c>
      <c r="G101" s="145">
        <v>1.90211</v>
      </c>
      <c r="H101" s="145">
        <v>1.8718599999999999</v>
      </c>
      <c r="I101" s="145">
        <v>1.8697999999999999</v>
      </c>
    </row>
    <row r="102" spans="1:9" x14ac:dyDescent="0.25">
      <c r="A102" s="146" t="s">
        <v>191</v>
      </c>
      <c r="B102" s="144">
        <v>41953</v>
      </c>
      <c r="C102" s="144">
        <v>41959</v>
      </c>
      <c r="D102" s="145">
        <v>1.83267</v>
      </c>
      <c r="E102" s="145">
        <v>1.83745</v>
      </c>
      <c r="F102" s="145" t="s">
        <v>192</v>
      </c>
      <c r="G102" s="145">
        <v>1.91127</v>
      </c>
      <c r="H102" s="145">
        <v>1.86992</v>
      </c>
      <c r="I102" s="145">
        <v>1.86585</v>
      </c>
    </row>
    <row r="103" spans="1:9" x14ac:dyDescent="0.25">
      <c r="A103" s="146" t="s">
        <v>191</v>
      </c>
      <c r="B103" s="144">
        <v>41960</v>
      </c>
      <c r="C103" s="144">
        <v>41966</v>
      </c>
      <c r="D103" s="145">
        <v>1.8304500000000001</v>
      </c>
      <c r="E103" s="145">
        <v>1.8351300000000001</v>
      </c>
      <c r="F103" s="145" t="s">
        <v>192</v>
      </c>
      <c r="G103" s="145">
        <v>1.8815999999999999</v>
      </c>
      <c r="H103" s="145">
        <v>1.8571800000000001</v>
      </c>
      <c r="I103" s="145">
        <v>1.8549599999999999</v>
      </c>
    </row>
    <row r="104" spans="1:9" x14ac:dyDescent="0.25">
      <c r="A104" s="146" t="s">
        <v>191</v>
      </c>
      <c r="B104" s="144">
        <v>41967</v>
      </c>
      <c r="C104" s="144">
        <v>41973</v>
      </c>
      <c r="D104" s="145">
        <v>1.8509800000000001</v>
      </c>
      <c r="E104" s="145">
        <v>1.8301800000000001</v>
      </c>
      <c r="F104" s="145" t="s">
        <v>192</v>
      </c>
      <c r="G104" s="145">
        <v>1.8874300000000002</v>
      </c>
      <c r="H104" s="145">
        <v>1.85046</v>
      </c>
      <c r="I104" s="145">
        <v>1.8505400000000001</v>
      </c>
    </row>
    <row r="105" spans="1:9" x14ac:dyDescent="0.25">
      <c r="A105" s="146" t="s">
        <v>191</v>
      </c>
      <c r="B105" s="144">
        <v>41974</v>
      </c>
      <c r="C105" s="144">
        <v>41980</v>
      </c>
      <c r="D105" s="145">
        <v>1.8015600000000001</v>
      </c>
      <c r="E105" s="145">
        <v>1.7981500000000001</v>
      </c>
      <c r="F105" s="145" t="s">
        <v>192</v>
      </c>
      <c r="G105" s="145">
        <v>1.8895999999999999</v>
      </c>
      <c r="H105" s="145">
        <v>1.8525499999999999</v>
      </c>
      <c r="I105" s="145">
        <v>1.8469</v>
      </c>
    </row>
    <row r="106" spans="1:9" x14ac:dyDescent="0.25">
      <c r="A106" s="146" t="s">
        <v>191</v>
      </c>
      <c r="B106" s="144">
        <v>41981</v>
      </c>
      <c r="C106" s="144">
        <v>41987</v>
      </c>
      <c r="D106" s="145">
        <v>1.7960099999999999</v>
      </c>
      <c r="E106" s="145">
        <v>1.80044</v>
      </c>
      <c r="F106" s="145" t="s">
        <v>192</v>
      </c>
      <c r="G106" s="145">
        <v>1.8624000000000001</v>
      </c>
      <c r="H106" s="145">
        <v>1.84768</v>
      </c>
      <c r="I106" s="145">
        <v>1.83765</v>
      </c>
    </row>
    <row r="107" spans="1:9" x14ac:dyDescent="0.25">
      <c r="A107" s="146" t="s">
        <v>191</v>
      </c>
      <c r="B107" s="144">
        <v>41988</v>
      </c>
      <c r="C107" s="144">
        <v>41994</v>
      </c>
      <c r="D107" s="145">
        <v>1.80457</v>
      </c>
      <c r="E107" s="145">
        <v>1.8102100000000001</v>
      </c>
      <c r="F107" s="145" t="s">
        <v>192</v>
      </c>
      <c r="G107" s="145">
        <v>1.8716900000000001</v>
      </c>
      <c r="H107" s="145">
        <v>1.83192</v>
      </c>
      <c r="I107" s="145">
        <v>1.8311199999999999</v>
      </c>
    </row>
    <row r="108" spans="1:9" x14ac:dyDescent="0.25">
      <c r="A108" s="146" t="s">
        <v>191</v>
      </c>
      <c r="B108" s="144">
        <v>41995</v>
      </c>
      <c r="C108" s="144">
        <v>42001</v>
      </c>
      <c r="D108" s="145">
        <v>1.7942799999999999</v>
      </c>
      <c r="E108" s="145">
        <v>1.79501</v>
      </c>
      <c r="F108" s="145" t="s">
        <v>192</v>
      </c>
      <c r="G108" s="145">
        <v>1.8654600000000001</v>
      </c>
      <c r="H108" s="145">
        <v>1.8184</v>
      </c>
      <c r="I108" s="145">
        <v>1.81684</v>
      </c>
    </row>
    <row r="109" spans="1:9" x14ac:dyDescent="0.25">
      <c r="A109" s="146" t="s">
        <v>191</v>
      </c>
      <c r="B109" s="144">
        <v>42002</v>
      </c>
      <c r="C109" s="144">
        <v>42008</v>
      </c>
      <c r="D109" s="145">
        <v>1.8148900000000001</v>
      </c>
      <c r="E109" s="145">
        <v>1.7217100000000001</v>
      </c>
      <c r="F109" s="145" t="s">
        <v>192</v>
      </c>
      <c r="G109" s="145">
        <v>1.82741</v>
      </c>
      <c r="H109" s="145">
        <v>1.7273800000000001</v>
      </c>
      <c r="I109" s="145">
        <v>1.73746</v>
      </c>
    </row>
    <row r="110" spans="1:9" x14ac:dyDescent="0.25">
      <c r="A110" s="146" t="s">
        <v>191</v>
      </c>
      <c r="B110" s="144">
        <v>42009</v>
      </c>
      <c r="C110" s="144">
        <v>42015</v>
      </c>
      <c r="D110" s="145">
        <v>1.55175</v>
      </c>
      <c r="E110" s="145">
        <v>1.5658699999999999</v>
      </c>
      <c r="F110" s="145" t="s">
        <v>192</v>
      </c>
      <c r="G110" s="145">
        <v>1.6792400000000001</v>
      </c>
      <c r="H110" s="145">
        <v>1.5814300000000001</v>
      </c>
      <c r="I110" s="145">
        <v>1.5835899999999998</v>
      </c>
    </row>
    <row r="111" spans="1:9" x14ac:dyDescent="0.25">
      <c r="A111" s="146" t="s">
        <v>191</v>
      </c>
      <c r="B111" s="144">
        <v>42016</v>
      </c>
      <c r="C111" s="144">
        <v>42022</v>
      </c>
      <c r="D111" s="145">
        <v>1.54451</v>
      </c>
      <c r="E111" s="145">
        <v>1.5509600000000001</v>
      </c>
      <c r="F111" s="145" t="s">
        <v>192</v>
      </c>
      <c r="G111" s="145">
        <v>1.62859</v>
      </c>
      <c r="H111" s="145">
        <v>1.5899100000000002</v>
      </c>
      <c r="I111" s="145">
        <v>1.5839400000000001</v>
      </c>
    </row>
    <row r="112" spans="1:9" x14ac:dyDescent="0.25">
      <c r="A112" s="146" t="s">
        <v>191</v>
      </c>
      <c r="B112" s="144">
        <v>42023</v>
      </c>
      <c r="C112" s="144">
        <v>42029</v>
      </c>
      <c r="D112" s="145">
        <v>1.5509500000000001</v>
      </c>
      <c r="E112" s="145">
        <v>1.5583399999999998</v>
      </c>
      <c r="F112" s="145" t="s">
        <v>192</v>
      </c>
      <c r="G112" s="145">
        <v>1.64655</v>
      </c>
      <c r="H112" s="145">
        <v>1.5969200000000001</v>
      </c>
      <c r="I112" s="145">
        <v>1.5911</v>
      </c>
    </row>
    <row r="113" spans="1:9" x14ac:dyDescent="0.25">
      <c r="A113" s="146" t="s">
        <v>191</v>
      </c>
      <c r="B113" s="144">
        <v>42030</v>
      </c>
      <c r="C113" s="144">
        <v>42036</v>
      </c>
      <c r="D113" s="145">
        <v>1.5607</v>
      </c>
      <c r="E113" s="145">
        <v>1.56365</v>
      </c>
      <c r="F113" s="145" t="s">
        <v>192</v>
      </c>
      <c r="G113" s="145">
        <v>1.6197000000000001</v>
      </c>
      <c r="H113" s="145">
        <v>1.5580000000000001</v>
      </c>
      <c r="I113" s="145">
        <v>1.5639100000000001</v>
      </c>
    </row>
    <row r="114" spans="1:9" x14ac:dyDescent="0.25">
      <c r="A114" s="146" t="s">
        <v>191</v>
      </c>
      <c r="B114" s="144">
        <v>42037</v>
      </c>
      <c r="C114" s="144">
        <v>42043</v>
      </c>
      <c r="D114" s="145">
        <v>1.3089500000000001</v>
      </c>
      <c r="E114" s="145">
        <v>1.32074</v>
      </c>
      <c r="F114" s="145" t="s">
        <v>192</v>
      </c>
      <c r="G114" s="145">
        <v>1.4446300000000001</v>
      </c>
      <c r="H114" s="145">
        <v>1.4062699999999999</v>
      </c>
      <c r="I114" s="145">
        <v>1.38931</v>
      </c>
    </row>
    <row r="115" spans="1:9" x14ac:dyDescent="0.25">
      <c r="A115" s="146" t="s">
        <v>191</v>
      </c>
      <c r="B115" s="144">
        <v>42044</v>
      </c>
      <c r="C115" s="144">
        <v>42050</v>
      </c>
      <c r="D115" s="145">
        <v>1.2964800000000001</v>
      </c>
      <c r="E115" s="145">
        <v>1.36267</v>
      </c>
      <c r="F115" s="145" t="s">
        <v>192</v>
      </c>
      <c r="G115" s="145">
        <v>1.44479</v>
      </c>
      <c r="H115" s="145">
        <v>1.38626</v>
      </c>
      <c r="I115" s="145">
        <v>1.3851800000000001</v>
      </c>
    </row>
    <row r="116" spans="1:9" x14ac:dyDescent="0.25">
      <c r="A116" s="146" t="s">
        <v>191</v>
      </c>
      <c r="B116" s="144">
        <v>42051</v>
      </c>
      <c r="C116" s="144">
        <v>42057</v>
      </c>
      <c r="D116" s="145">
        <v>1.2972000000000001</v>
      </c>
      <c r="E116" s="145">
        <v>1.2998699999999999</v>
      </c>
      <c r="F116" s="145" t="s">
        <v>192</v>
      </c>
      <c r="G116" s="145">
        <v>1.4416</v>
      </c>
      <c r="H116" s="145">
        <v>1.38547</v>
      </c>
      <c r="I116" s="145">
        <v>1.3630100000000001</v>
      </c>
    </row>
    <row r="117" spans="1:9" x14ac:dyDescent="0.25">
      <c r="A117" s="146" t="s">
        <v>191</v>
      </c>
      <c r="B117" s="144">
        <v>42058</v>
      </c>
      <c r="C117" s="144">
        <v>42064</v>
      </c>
      <c r="D117" s="145">
        <v>1.2824800000000001</v>
      </c>
      <c r="E117" s="145">
        <v>1.3148299999999999</v>
      </c>
      <c r="F117" s="145" t="s">
        <v>192</v>
      </c>
      <c r="G117" s="145">
        <v>1.37293</v>
      </c>
      <c r="H117" s="145">
        <v>1.3493599999999999</v>
      </c>
      <c r="I117" s="145">
        <v>1.34396</v>
      </c>
    </row>
    <row r="118" spans="1:9" x14ac:dyDescent="0.25">
      <c r="A118" s="146" t="s">
        <v>191</v>
      </c>
      <c r="B118" s="144">
        <v>42065</v>
      </c>
      <c r="C118" s="144">
        <v>42071</v>
      </c>
      <c r="D118" s="145">
        <v>1.43157</v>
      </c>
      <c r="E118" s="145">
        <v>1.45302</v>
      </c>
      <c r="F118" s="145" t="s">
        <v>192</v>
      </c>
      <c r="G118" s="145">
        <v>1.5431700000000002</v>
      </c>
      <c r="H118" s="145">
        <v>1.5218399999999999</v>
      </c>
      <c r="I118" s="145">
        <v>1.5027000000000001</v>
      </c>
    </row>
    <row r="119" spans="1:9" x14ac:dyDescent="0.25">
      <c r="A119" s="146" t="s">
        <v>191</v>
      </c>
      <c r="B119" s="144">
        <v>42072</v>
      </c>
      <c r="C119" s="144">
        <v>42078</v>
      </c>
      <c r="D119" s="145">
        <v>1.4321400000000002</v>
      </c>
      <c r="E119" s="145">
        <v>1.44096</v>
      </c>
      <c r="F119" s="145" t="s">
        <v>192</v>
      </c>
      <c r="G119" s="145">
        <v>1.59016</v>
      </c>
      <c r="H119" s="145">
        <v>1.51162</v>
      </c>
      <c r="I119" s="145">
        <v>1.50529</v>
      </c>
    </row>
    <row r="120" spans="1:9" x14ac:dyDescent="0.25">
      <c r="A120" s="146" t="s">
        <v>191</v>
      </c>
      <c r="B120" s="144">
        <v>42079</v>
      </c>
      <c r="C120" s="144">
        <v>42085</v>
      </c>
      <c r="D120" s="145">
        <v>1.4462999999999999</v>
      </c>
      <c r="E120" s="145">
        <v>1.4648800000000002</v>
      </c>
      <c r="F120" s="145" t="s">
        <v>192</v>
      </c>
      <c r="G120" s="145">
        <v>1.5026199999999998</v>
      </c>
      <c r="H120" s="145">
        <v>1.5032300000000001</v>
      </c>
      <c r="I120" s="145">
        <v>1.49566</v>
      </c>
    </row>
    <row r="121" spans="1:9" x14ac:dyDescent="0.25">
      <c r="A121" s="146" t="s">
        <v>191</v>
      </c>
      <c r="B121" s="144">
        <v>42086</v>
      </c>
      <c r="C121" s="144">
        <v>42092</v>
      </c>
      <c r="D121" s="145">
        <v>1.40744</v>
      </c>
      <c r="E121" s="145">
        <v>1.4119600000000001</v>
      </c>
      <c r="F121" s="145" t="s">
        <v>192</v>
      </c>
      <c r="G121" s="145">
        <v>1.51434</v>
      </c>
      <c r="H121" s="145">
        <v>1.45181</v>
      </c>
      <c r="I121" s="145">
        <v>1.4524699999999999</v>
      </c>
    </row>
    <row r="122" spans="1:9" x14ac:dyDescent="0.25">
      <c r="A122" s="146" t="s">
        <v>191</v>
      </c>
      <c r="B122" s="144">
        <v>42093</v>
      </c>
      <c r="C122" s="144">
        <v>42099</v>
      </c>
      <c r="D122" s="145">
        <v>1.56612</v>
      </c>
      <c r="E122" s="145">
        <v>1.5329000000000002</v>
      </c>
      <c r="F122" s="145" t="s">
        <v>192</v>
      </c>
      <c r="G122" s="145">
        <v>1.6773199999999999</v>
      </c>
      <c r="H122" s="145">
        <v>1.64469</v>
      </c>
      <c r="I122" s="145">
        <v>1.6251300000000002</v>
      </c>
    </row>
    <row r="123" spans="1:9" x14ac:dyDescent="0.25">
      <c r="A123" s="146" t="s">
        <v>191</v>
      </c>
      <c r="B123" s="144">
        <v>42100</v>
      </c>
      <c r="C123" s="144">
        <v>42106</v>
      </c>
      <c r="D123" s="145">
        <v>1.6043800000000001</v>
      </c>
      <c r="E123" s="145">
        <v>1.64514</v>
      </c>
      <c r="F123" s="145" t="s">
        <v>192</v>
      </c>
      <c r="G123" s="145">
        <v>1.78779</v>
      </c>
      <c r="H123" s="145">
        <v>1.6896300000000002</v>
      </c>
      <c r="I123" s="145">
        <v>1.68929</v>
      </c>
    </row>
    <row r="124" spans="1:9" x14ac:dyDescent="0.25">
      <c r="A124" s="146" t="s">
        <v>191</v>
      </c>
      <c r="B124" s="144">
        <v>42107</v>
      </c>
      <c r="C124" s="144">
        <v>42113</v>
      </c>
      <c r="D124" s="145">
        <v>1.609</v>
      </c>
      <c r="E124" s="145">
        <v>1.6062700000000001</v>
      </c>
      <c r="F124" s="145" t="s">
        <v>192</v>
      </c>
      <c r="G124" s="145">
        <v>1.69574</v>
      </c>
      <c r="H124" s="145">
        <v>1.66232</v>
      </c>
      <c r="I124" s="145">
        <v>1.64679</v>
      </c>
    </row>
    <row r="125" spans="1:9" x14ac:dyDescent="0.25">
      <c r="A125" s="146" t="s">
        <v>191</v>
      </c>
      <c r="B125" s="144">
        <v>42114</v>
      </c>
      <c r="C125" s="144">
        <v>42120</v>
      </c>
      <c r="D125" s="145">
        <v>1.60825</v>
      </c>
      <c r="E125" s="145">
        <v>1.58975</v>
      </c>
      <c r="F125" s="145" t="s">
        <v>192</v>
      </c>
      <c r="G125" s="145">
        <v>1.6595599999999999</v>
      </c>
      <c r="H125" s="145">
        <v>1.6440999999999999</v>
      </c>
      <c r="I125" s="145">
        <v>1.6384000000000001</v>
      </c>
    </row>
    <row r="126" spans="1:9" x14ac:dyDescent="0.25">
      <c r="A126" s="146" t="s">
        <v>191</v>
      </c>
      <c r="B126" s="144">
        <v>42121</v>
      </c>
      <c r="C126" s="144">
        <v>42127</v>
      </c>
      <c r="D126" s="145">
        <v>1.6180000000000001</v>
      </c>
      <c r="E126" s="145">
        <v>1.5850799999999998</v>
      </c>
      <c r="F126" s="145">
        <v>1.6873</v>
      </c>
      <c r="G126" s="145">
        <v>1.6634599999999999</v>
      </c>
      <c r="H126" s="145">
        <v>1.6133499999999998</v>
      </c>
      <c r="I126" s="145">
        <v>1.61337</v>
      </c>
    </row>
    <row r="127" spans="1:9" x14ac:dyDescent="0.25">
      <c r="A127" s="146" t="s">
        <v>191</v>
      </c>
      <c r="B127" s="144">
        <v>42128</v>
      </c>
      <c r="C127" s="144">
        <v>42134</v>
      </c>
      <c r="D127" s="145">
        <v>1.6007799999999999</v>
      </c>
      <c r="E127" s="145">
        <v>1.58979</v>
      </c>
      <c r="F127" s="145" t="s">
        <v>192</v>
      </c>
      <c r="G127" s="145">
        <v>1.6483699999999999</v>
      </c>
      <c r="H127" s="145">
        <v>1.61355</v>
      </c>
      <c r="I127" s="145">
        <v>1.61304</v>
      </c>
    </row>
    <row r="128" spans="1:9" x14ac:dyDescent="0.25">
      <c r="A128" s="146" t="s">
        <v>191</v>
      </c>
      <c r="B128" s="144">
        <v>42135</v>
      </c>
      <c r="C128" s="144">
        <v>42141</v>
      </c>
      <c r="D128" s="145">
        <v>1.60307</v>
      </c>
      <c r="E128" s="145">
        <v>1.5896300000000001</v>
      </c>
      <c r="F128" s="145" t="s">
        <v>192</v>
      </c>
      <c r="G128" s="145">
        <v>1.65421</v>
      </c>
      <c r="H128" s="145">
        <v>1.6331600000000002</v>
      </c>
      <c r="I128" s="145">
        <v>1.6270899999999999</v>
      </c>
    </row>
    <row r="129" spans="1:9" x14ac:dyDescent="0.25">
      <c r="A129" s="146" t="s">
        <v>191</v>
      </c>
      <c r="B129" s="144">
        <v>42142</v>
      </c>
      <c r="C129" s="144">
        <v>42148</v>
      </c>
      <c r="D129" s="145">
        <v>1.59995</v>
      </c>
      <c r="E129" s="145">
        <v>1.5902799999999999</v>
      </c>
      <c r="F129" s="145" t="s">
        <v>192</v>
      </c>
      <c r="G129" s="145">
        <v>1.64968</v>
      </c>
      <c r="H129" s="145">
        <v>1.6644300000000001</v>
      </c>
      <c r="I129" s="145">
        <v>1.6465099999999999</v>
      </c>
    </row>
    <row r="130" spans="1:9" x14ac:dyDescent="0.25">
      <c r="A130" s="146" t="s">
        <v>191</v>
      </c>
      <c r="B130" s="144">
        <v>42149</v>
      </c>
      <c r="C130" s="144">
        <v>42155</v>
      </c>
      <c r="D130" s="145">
        <v>1.61476</v>
      </c>
      <c r="E130" s="145">
        <v>1.59233</v>
      </c>
      <c r="F130" s="145" t="s">
        <v>192</v>
      </c>
      <c r="G130" s="145">
        <v>1.6597500000000001</v>
      </c>
      <c r="H130" s="145">
        <v>1.6164000000000001</v>
      </c>
      <c r="I130" s="145">
        <v>1.6160399999999999</v>
      </c>
    </row>
    <row r="131" spans="1:9" x14ac:dyDescent="0.25">
      <c r="A131" s="146" t="s">
        <v>191</v>
      </c>
      <c r="B131" s="144">
        <v>42156</v>
      </c>
      <c r="C131" s="144">
        <v>42162</v>
      </c>
      <c r="D131" s="145">
        <v>1.72943</v>
      </c>
      <c r="E131" s="145">
        <v>1.69451</v>
      </c>
      <c r="F131" s="145" t="s">
        <v>192</v>
      </c>
      <c r="G131" s="145">
        <v>1.76671</v>
      </c>
      <c r="H131" s="145">
        <v>1.7329300000000001</v>
      </c>
      <c r="I131" s="145">
        <v>1.7310399999999999</v>
      </c>
    </row>
    <row r="132" spans="1:9" x14ac:dyDescent="0.25">
      <c r="A132" s="146" t="s">
        <v>191</v>
      </c>
      <c r="B132" s="144">
        <v>42163</v>
      </c>
      <c r="C132" s="144">
        <v>42169</v>
      </c>
      <c r="D132" s="145">
        <v>1.71244</v>
      </c>
      <c r="E132" s="145">
        <v>1.68851</v>
      </c>
      <c r="F132" s="145" t="s">
        <v>192</v>
      </c>
      <c r="G132" s="145">
        <v>1.76298</v>
      </c>
      <c r="H132" s="145">
        <v>1.7428699999999999</v>
      </c>
      <c r="I132" s="145">
        <v>1.7358</v>
      </c>
    </row>
    <row r="133" spans="1:9" x14ac:dyDescent="0.25">
      <c r="A133" s="146" t="s">
        <v>191</v>
      </c>
      <c r="B133" s="144">
        <v>42170</v>
      </c>
      <c r="C133" s="144">
        <v>42176</v>
      </c>
      <c r="D133" s="145">
        <v>1.72756</v>
      </c>
      <c r="E133" s="145">
        <v>1.71661</v>
      </c>
      <c r="F133" s="145" t="s">
        <v>192</v>
      </c>
      <c r="G133" s="145">
        <v>1.76871</v>
      </c>
      <c r="H133" s="145">
        <v>1.74034</v>
      </c>
      <c r="I133" s="145">
        <v>1.7372799999999999</v>
      </c>
    </row>
    <row r="134" spans="1:9" x14ac:dyDescent="0.25">
      <c r="A134" s="146" t="s">
        <v>191</v>
      </c>
      <c r="B134" s="144">
        <v>42177</v>
      </c>
      <c r="C134" s="144">
        <v>42183</v>
      </c>
      <c r="D134" s="145">
        <v>1.7151700000000001</v>
      </c>
      <c r="E134" s="145">
        <v>1.70089</v>
      </c>
      <c r="F134" s="145" t="s">
        <v>192</v>
      </c>
      <c r="G134" s="145">
        <v>1.7722100000000001</v>
      </c>
      <c r="H134" s="145">
        <v>1.7365899999999999</v>
      </c>
      <c r="I134" s="145">
        <v>1.7328699999999999</v>
      </c>
    </row>
    <row r="135" spans="1:9" x14ac:dyDescent="0.25">
      <c r="A135" s="146" t="s">
        <v>191</v>
      </c>
      <c r="B135" s="144">
        <v>42184</v>
      </c>
      <c r="C135" s="144">
        <v>42190</v>
      </c>
      <c r="D135" s="145">
        <v>1.72709</v>
      </c>
      <c r="E135" s="145">
        <v>1.72671</v>
      </c>
      <c r="F135" s="145" t="s">
        <v>192</v>
      </c>
      <c r="G135" s="145">
        <v>1.7729999999999999</v>
      </c>
      <c r="H135" s="145">
        <v>1.73224</v>
      </c>
      <c r="I135" s="145">
        <v>1.7339100000000001</v>
      </c>
    </row>
    <row r="136" spans="1:9" x14ac:dyDescent="0.25">
      <c r="A136" s="146" t="s">
        <v>191</v>
      </c>
      <c r="B136" s="144">
        <v>42191</v>
      </c>
      <c r="C136" s="144">
        <v>42197</v>
      </c>
      <c r="D136" s="145">
        <v>1.6898299999999999</v>
      </c>
      <c r="E136" s="145">
        <v>1.6719900000000001</v>
      </c>
      <c r="F136" s="145" t="s">
        <v>192</v>
      </c>
      <c r="G136" s="145">
        <v>1.7701800000000001</v>
      </c>
      <c r="H136" s="145">
        <v>1.7274700000000001</v>
      </c>
      <c r="I136" s="145">
        <v>1.72228</v>
      </c>
    </row>
    <row r="137" spans="1:9" x14ac:dyDescent="0.25">
      <c r="A137" s="146" t="s">
        <v>191</v>
      </c>
      <c r="B137" s="144">
        <v>42198</v>
      </c>
      <c r="C137" s="144">
        <v>42204</v>
      </c>
      <c r="D137" s="145">
        <v>1.69773</v>
      </c>
      <c r="E137" s="145">
        <v>1.70591</v>
      </c>
      <c r="F137" s="145" t="s">
        <v>192</v>
      </c>
      <c r="G137" s="145">
        <v>1.78132</v>
      </c>
      <c r="H137" s="145">
        <v>1.72878</v>
      </c>
      <c r="I137" s="145">
        <v>1.72709</v>
      </c>
    </row>
    <row r="138" spans="1:9" x14ac:dyDescent="0.25">
      <c r="A138" s="146" t="s">
        <v>191</v>
      </c>
      <c r="B138" s="144">
        <v>42205</v>
      </c>
      <c r="C138" s="144">
        <v>42211</v>
      </c>
      <c r="D138" s="145">
        <v>1.6934200000000001</v>
      </c>
      <c r="E138" s="145">
        <v>1.6898199999999999</v>
      </c>
      <c r="F138" s="145" t="s">
        <v>192</v>
      </c>
      <c r="G138" s="145">
        <v>1.7782800000000001</v>
      </c>
      <c r="H138" s="145">
        <v>1.7289100000000002</v>
      </c>
      <c r="I138" s="145">
        <v>1.7239599999999999</v>
      </c>
    </row>
    <row r="139" spans="1:9" x14ac:dyDescent="0.25">
      <c r="A139" s="146" t="s">
        <v>191</v>
      </c>
      <c r="B139" s="144">
        <v>42212</v>
      </c>
      <c r="C139" s="144">
        <v>42218</v>
      </c>
      <c r="D139" s="145">
        <v>1.68526</v>
      </c>
      <c r="E139" s="145">
        <v>1.70868</v>
      </c>
      <c r="F139" s="145" t="s">
        <v>192</v>
      </c>
      <c r="G139" s="145">
        <v>1.7712999999999999</v>
      </c>
      <c r="H139" s="145">
        <v>1.7083599999999999</v>
      </c>
      <c r="I139" s="145">
        <v>1.7116800000000001</v>
      </c>
    </row>
    <row r="140" spans="1:9" x14ac:dyDescent="0.25">
      <c r="A140" s="146" t="s">
        <v>191</v>
      </c>
      <c r="B140" s="144">
        <v>42219</v>
      </c>
      <c r="C140" s="144">
        <v>42225</v>
      </c>
      <c r="D140" s="145">
        <v>1.6004500000000002</v>
      </c>
      <c r="E140" s="145">
        <v>1.6341300000000001</v>
      </c>
      <c r="F140" s="145" t="s">
        <v>192</v>
      </c>
      <c r="G140" s="145">
        <v>1.6826500000000002</v>
      </c>
      <c r="H140" s="145">
        <v>1.63453</v>
      </c>
      <c r="I140" s="145">
        <v>1.63472</v>
      </c>
    </row>
    <row r="141" spans="1:9" x14ac:dyDescent="0.25">
      <c r="A141" s="146" t="s">
        <v>191</v>
      </c>
      <c r="B141" s="144">
        <v>42226</v>
      </c>
      <c r="C141" s="144">
        <v>42232</v>
      </c>
      <c r="D141" s="145">
        <v>1.58521</v>
      </c>
      <c r="E141" s="145">
        <v>1.59013</v>
      </c>
      <c r="F141" s="145" t="s">
        <v>192</v>
      </c>
      <c r="G141" s="145">
        <v>1.6749400000000001</v>
      </c>
      <c r="H141" s="145">
        <v>1.6396199999999999</v>
      </c>
      <c r="I141" s="145">
        <v>1.63601</v>
      </c>
    </row>
    <row r="142" spans="1:9" x14ac:dyDescent="0.25">
      <c r="A142" s="146" t="s">
        <v>191</v>
      </c>
      <c r="B142" s="144">
        <v>42233</v>
      </c>
      <c r="C142" s="144">
        <v>42239</v>
      </c>
      <c r="D142" s="145">
        <v>1.60598</v>
      </c>
      <c r="E142" s="145">
        <v>1.6111600000000001</v>
      </c>
      <c r="F142" s="145" t="s">
        <v>192</v>
      </c>
      <c r="G142" s="145">
        <v>1.6891099999999999</v>
      </c>
      <c r="H142" s="145">
        <v>1.63781</v>
      </c>
      <c r="I142" s="145">
        <v>1.6354600000000001</v>
      </c>
    </row>
    <row r="143" spans="1:9" x14ac:dyDescent="0.25">
      <c r="A143" s="146" t="s">
        <v>191</v>
      </c>
      <c r="B143" s="144">
        <v>42240</v>
      </c>
      <c r="C143" s="144">
        <v>42246</v>
      </c>
      <c r="D143" s="145">
        <v>1.5954900000000001</v>
      </c>
      <c r="E143" s="145">
        <v>1.5890499999999999</v>
      </c>
      <c r="F143" s="145" t="s">
        <v>192</v>
      </c>
      <c r="G143" s="145">
        <v>1.69089</v>
      </c>
      <c r="H143" s="145">
        <v>1.6403699999999999</v>
      </c>
      <c r="I143" s="145">
        <v>1.6342300000000001</v>
      </c>
    </row>
    <row r="144" spans="1:9" x14ac:dyDescent="0.25">
      <c r="A144" s="146" t="s">
        <v>191</v>
      </c>
      <c r="B144" s="144">
        <v>42247</v>
      </c>
      <c r="C144" s="144">
        <v>42253</v>
      </c>
      <c r="D144" s="145">
        <v>1.5855999999999999</v>
      </c>
      <c r="E144" s="145">
        <v>1.59954</v>
      </c>
      <c r="F144" s="145" t="s">
        <v>192</v>
      </c>
      <c r="G144" s="145">
        <v>1.6530199999999999</v>
      </c>
      <c r="H144" s="145">
        <v>1.6016700000000001</v>
      </c>
      <c r="I144" s="145">
        <v>1.605</v>
      </c>
    </row>
    <row r="145" spans="1:9" x14ac:dyDescent="0.25">
      <c r="A145" s="146" t="s">
        <v>191</v>
      </c>
      <c r="B145" s="144">
        <v>42254</v>
      </c>
      <c r="C145" s="144">
        <v>42260</v>
      </c>
      <c r="D145" s="145">
        <v>1.55968</v>
      </c>
      <c r="E145" s="145">
        <v>1.5913199999999998</v>
      </c>
      <c r="F145" s="145" t="s">
        <v>192</v>
      </c>
      <c r="G145" s="145">
        <v>1.63565</v>
      </c>
      <c r="H145" s="145">
        <v>1.59385</v>
      </c>
      <c r="I145" s="145">
        <v>1.59633</v>
      </c>
    </row>
    <row r="146" spans="1:9" x14ac:dyDescent="0.25">
      <c r="A146" s="146" t="s">
        <v>191</v>
      </c>
      <c r="B146" s="144">
        <v>42261</v>
      </c>
      <c r="C146" s="144">
        <v>42267</v>
      </c>
      <c r="D146" s="145">
        <v>1.54809</v>
      </c>
      <c r="E146" s="145">
        <v>1.5543900000000002</v>
      </c>
      <c r="F146" s="145" t="s">
        <v>192</v>
      </c>
      <c r="G146" s="145">
        <v>1.63374</v>
      </c>
      <c r="H146" s="145">
        <v>1.5882700000000001</v>
      </c>
      <c r="I146" s="145">
        <v>1.5835399999999999</v>
      </c>
    </row>
    <row r="147" spans="1:9" x14ac:dyDescent="0.25">
      <c r="A147" s="146" t="s">
        <v>191</v>
      </c>
      <c r="B147" s="144">
        <v>42268</v>
      </c>
      <c r="C147" s="144">
        <v>42274</v>
      </c>
      <c r="D147" s="145">
        <v>1.53257</v>
      </c>
      <c r="E147" s="145">
        <v>1.5760399999999999</v>
      </c>
      <c r="F147" s="145" t="s">
        <v>192</v>
      </c>
      <c r="G147" s="145">
        <v>1.6403699999999999</v>
      </c>
      <c r="H147" s="145">
        <v>1.58813</v>
      </c>
      <c r="I147" s="145">
        <v>1.59049</v>
      </c>
    </row>
    <row r="148" spans="1:9" x14ac:dyDescent="0.25">
      <c r="A148" s="146" t="s">
        <v>191</v>
      </c>
      <c r="B148" s="144">
        <v>42275</v>
      </c>
      <c r="C148" s="144">
        <v>42281</v>
      </c>
      <c r="D148" s="145">
        <v>1.6148900000000002</v>
      </c>
      <c r="E148" s="145">
        <v>1.5925</v>
      </c>
      <c r="F148" s="145" t="s">
        <v>192</v>
      </c>
      <c r="G148" s="145">
        <v>1.6902000000000001</v>
      </c>
      <c r="H148" s="145">
        <v>1.6449400000000001</v>
      </c>
      <c r="I148" s="145">
        <v>1.6372</v>
      </c>
    </row>
    <row r="149" spans="1:9" x14ac:dyDescent="0.25">
      <c r="A149" s="146" t="s">
        <v>191</v>
      </c>
      <c r="B149" s="144">
        <v>42282</v>
      </c>
      <c r="C149" s="144">
        <v>42288</v>
      </c>
      <c r="D149" s="145">
        <v>1.65873</v>
      </c>
      <c r="E149" s="145">
        <v>1.6337899999999999</v>
      </c>
      <c r="F149" s="145" t="s">
        <v>192</v>
      </c>
      <c r="G149" s="145">
        <v>1.7215400000000001</v>
      </c>
      <c r="H149" s="145">
        <v>1.6784300000000001</v>
      </c>
      <c r="I149" s="145">
        <v>1.6753900000000002</v>
      </c>
    </row>
    <row r="150" spans="1:9" x14ac:dyDescent="0.25">
      <c r="A150" s="146" t="s">
        <v>191</v>
      </c>
      <c r="B150" s="144">
        <v>42289</v>
      </c>
      <c r="C150" s="144">
        <v>42295</v>
      </c>
      <c r="D150" s="145">
        <v>1.6354600000000001</v>
      </c>
      <c r="E150" s="145">
        <v>1.6409400000000001</v>
      </c>
      <c r="F150" s="145" t="s">
        <v>192</v>
      </c>
      <c r="G150" s="145">
        <v>1.7201</v>
      </c>
      <c r="H150" s="145">
        <v>1.6742300000000001</v>
      </c>
      <c r="I150" s="145">
        <v>1.66926</v>
      </c>
    </row>
    <row r="151" spans="1:9" x14ac:dyDescent="0.25">
      <c r="A151" s="146" t="s">
        <v>191</v>
      </c>
      <c r="B151" s="144">
        <v>42296</v>
      </c>
      <c r="C151" s="144">
        <v>42302</v>
      </c>
      <c r="D151" s="145">
        <v>1.63483</v>
      </c>
      <c r="E151" s="145">
        <v>1.6495499999999998</v>
      </c>
      <c r="F151" s="145" t="s">
        <v>192</v>
      </c>
      <c r="G151" s="145">
        <v>1.7210000000000001</v>
      </c>
      <c r="H151" s="145">
        <v>1.67584</v>
      </c>
      <c r="I151" s="145">
        <v>1.6732799999999999</v>
      </c>
    </row>
    <row r="152" spans="1:9" x14ac:dyDescent="0.25">
      <c r="A152" s="146" t="s">
        <v>191</v>
      </c>
      <c r="B152" s="144">
        <v>42303</v>
      </c>
      <c r="C152" s="144">
        <v>42309</v>
      </c>
      <c r="D152" s="145">
        <v>1.62659</v>
      </c>
      <c r="E152" s="145">
        <v>1.6585300000000001</v>
      </c>
      <c r="F152" s="145" t="s">
        <v>192</v>
      </c>
      <c r="G152" s="145">
        <v>1.7241099999999998</v>
      </c>
      <c r="H152" s="145">
        <v>1.69042</v>
      </c>
      <c r="I152" s="145">
        <v>1.68801</v>
      </c>
    </row>
    <row r="153" spans="1:9" x14ac:dyDescent="0.25">
      <c r="A153" s="146" t="s">
        <v>191</v>
      </c>
      <c r="B153" s="144">
        <v>42310</v>
      </c>
      <c r="C153" s="144">
        <v>42316</v>
      </c>
      <c r="D153" s="145">
        <v>1.7079200000000001</v>
      </c>
      <c r="E153" s="145">
        <v>1.6909799999999999</v>
      </c>
      <c r="F153" s="145" t="s">
        <v>192</v>
      </c>
      <c r="G153" s="145">
        <v>1.7793699999999999</v>
      </c>
      <c r="H153" s="145">
        <v>1.7645200000000001</v>
      </c>
      <c r="I153" s="145">
        <v>1.7547699999999999</v>
      </c>
    </row>
    <row r="154" spans="1:9" x14ac:dyDescent="0.25">
      <c r="A154" s="146" t="s">
        <v>191</v>
      </c>
      <c r="B154" s="144">
        <v>42317</v>
      </c>
      <c r="C154" s="144">
        <v>42323</v>
      </c>
      <c r="D154" s="145">
        <v>1.69309</v>
      </c>
      <c r="E154" s="145">
        <v>1.7141500000000001</v>
      </c>
      <c r="F154" s="145" t="s">
        <v>192</v>
      </c>
      <c r="G154" s="145">
        <v>1.7813599999999998</v>
      </c>
      <c r="H154" s="145">
        <v>1.7539500000000001</v>
      </c>
      <c r="I154" s="145">
        <v>1.74339</v>
      </c>
    </row>
    <row r="155" spans="1:9" x14ac:dyDescent="0.25">
      <c r="A155" s="146" t="s">
        <v>191</v>
      </c>
      <c r="B155" s="144">
        <v>42324</v>
      </c>
      <c r="C155" s="144">
        <v>42330</v>
      </c>
      <c r="D155" s="145">
        <v>1.69004</v>
      </c>
      <c r="E155" s="145">
        <v>1.6767400000000001</v>
      </c>
      <c r="F155" s="145" t="s">
        <v>192</v>
      </c>
      <c r="G155" s="145">
        <v>1.78721</v>
      </c>
      <c r="H155" s="145">
        <v>1.74956</v>
      </c>
      <c r="I155" s="145">
        <v>1.74543</v>
      </c>
    </row>
    <row r="156" spans="1:9" x14ac:dyDescent="0.25">
      <c r="A156" s="146" t="s">
        <v>191</v>
      </c>
      <c r="B156" s="144">
        <v>42331</v>
      </c>
      <c r="C156" s="144">
        <v>42337</v>
      </c>
      <c r="D156" s="145">
        <v>1.71373</v>
      </c>
      <c r="E156" s="145">
        <v>1.7036</v>
      </c>
      <c r="F156" s="145" t="s">
        <v>192</v>
      </c>
      <c r="G156" s="145">
        <v>1.7821900000000002</v>
      </c>
      <c r="H156" s="145">
        <v>1.7304999999999999</v>
      </c>
      <c r="I156" s="145">
        <v>1.7299599999999999</v>
      </c>
    </row>
    <row r="157" spans="1:9" x14ac:dyDescent="0.25">
      <c r="A157" s="146" t="s">
        <v>191</v>
      </c>
      <c r="B157" s="144">
        <v>42338</v>
      </c>
      <c r="C157" s="144">
        <v>42344</v>
      </c>
      <c r="D157" s="145">
        <v>1.6166700000000001</v>
      </c>
      <c r="E157" s="145">
        <v>1.6529700000000001</v>
      </c>
      <c r="F157" s="145" t="s">
        <v>192</v>
      </c>
      <c r="G157" s="145">
        <v>1.71376</v>
      </c>
      <c r="H157" s="145">
        <v>1.6991400000000001</v>
      </c>
      <c r="I157" s="145">
        <v>1.6850399999999999</v>
      </c>
    </row>
    <row r="158" spans="1:9" x14ac:dyDescent="0.25">
      <c r="A158" s="146" t="s">
        <v>191</v>
      </c>
      <c r="B158" s="144">
        <v>42345</v>
      </c>
      <c r="C158" s="144">
        <v>42351</v>
      </c>
      <c r="D158" s="145">
        <v>1.6297999999999999</v>
      </c>
      <c r="E158" s="145">
        <v>1.6323299999999998</v>
      </c>
      <c r="F158" s="145" t="s">
        <v>192</v>
      </c>
      <c r="G158" s="145">
        <v>1.7039500000000001</v>
      </c>
      <c r="H158" s="145">
        <v>1.6841300000000001</v>
      </c>
      <c r="I158" s="145">
        <v>1.6783399999999999</v>
      </c>
    </row>
    <row r="159" spans="1:9" x14ac:dyDescent="0.25">
      <c r="A159" s="146" t="s">
        <v>191</v>
      </c>
      <c r="B159" s="144">
        <v>42352</v>
      </c>
      <c r="C159" s="144">
        <v>42358</v>
      </c>
      <c r="D159" s="145">
        <v>1.6201199999999998</v>
      </c>
      <c r="E159" s="145">
        <v>1.6325000000000001</v>
      </c>
      <c r="F159" s="145" t="s">
        <v>192</v>
      </c>
      <c r="G159" s="145">
        <v>1.7051700000000001</v>
      </c>
      <c r="H159" s="145">
        <v>1.6702000000000001</v>
      </c>
      <c r="I159" s="145">
        <v>1.6626800000000002</v>
      </c>
    </row>
    <row r="160" spans="1:9" x14ac:dyDescent="0.25">
      <c r="A160" s="146" t="s">
        <v>191</v>
      </c>
      <c r="B160" s="144">
        <v>42359</v>
      </c>
      <c r="C160" s="144">
        <v>42365</v>
      </c>
      <c r="D160" s="145">
        <v>1.6128900000000002</v>
      </c>
      <c r="E160" s="145">
        <v>1.6151</v>
      </c>
      <c r="F160" s="145" t="s">
        <v>192</v>
      </c>
      <c r="G160" s="145">
        <v>1.70373</v>
      </c>
      <c r="H160" s="145">
        <v>1.6663599999999998</v>
      </c>
      <c r="I160" s="145">
        <v>1.65923</v>
      </c>
    </row>
    <row r="161" spans="1:9" x14ac:dyDescent="0.25">
      <c r="A161" s="146" t="s">
        <v>191</v>
      </c>
      <c r="B161" s="144">
        <v>42366</v>
      </c>
      <c r="C161" s="144">
        <v>42372</v>
      </c>
      <c r="D161" s="145">
        <v>1.55813</v>
      </c>
      <c r="E161" s="145">
        <v>1.57687</v>
      </c>
      <c r="F161" s="145" t="s">
        <v>192</v>
      </c>
      <c r="G161" s="145">
        <v>1.68289</v>
      </c>
      <c r="H161" s="145">
        <v>1.6042000000000001</v>
      </c>
      <c r="I161" s="145">
        <v>1.60144</v>
      </c>
    </row>
    <row r="162" spans="1:9" x14ac:dyDescent="0.25">
      <c r="A162" s="146" t="s">
        <v>191</v>
      </c>
      <c r="B162" s="144">
        <v>42373</v>
      </c>
      <c r="C162" s="144">
        <v>42379</v>
      </c>
      <c r="D162" s="145">
        <v>1.4132800000000001</v>
      </c>
      <c r="E162" s="145">
        <v>1.4529700000000001</v>
      </c>
      <c r="F162" s="145" t="s">
        <v>192</v>
      </c>
      <c r="G162" s="145">
        <v>1.5132099999999999</v>
      </c>
      <c r="H162" s="145">
        <v>1.49379</v>
      </c>
      <c r="I162" s="145">
        <v>1.47993</v>
      </c>
    </row>
    <row r="163" spans="1:9" x14ac:dyDescent="0.25">
      <c r="A163" s="146" t="s">
        <v>191</v>
      </c>
      <c r="B163" s="144">
        <v>42380</v>
      </c>
      <c r="C163" s="144">
        <v>42386</v>
      </c>
      <c r="D163" s="145">
        <v>1.43001</v>
      </c>
      <c r="E163" s="145">
        <v>1.44506</v>
      </c>
      <c r="F163" s="145" t="s">
        <v>192</v>
      </c>
      <c r="G163" s="145">
        <v>1.52983</v>
      </c>
      <c r="H163" s="145">
        <v>1.5139899999999999</v>
      </c>
      <c r="I163" s="145">
        <v>1.49688</v>
      </c>
    </row>
    <row r="164" spans="1:9" x14ac:dyDescent="0.25">
      <c r="A164" s="146" t="s">
        <v>191</v>
      </c>
      <c r="B164" s="144">
        <v>42387</v>
      </c>
      <c r="C164" s="144">
        <v>42393</v>
      </c>
      <c r="D164" s="145">
        <v>1.42344</v>
      </c>
      <c r="E164" s="145">
        <v>1.4674</v>
      </c>
      <c r="F164" s="145" t="s">
        <v>192</v>
      </c>
      <c r="G164" s="145">
        <v>1.5532699999999999</v>
      </c>
      <c r="H164" s="145">
        <v>1.4929300000000001</v>
      </c>
      <c r="I164" s="145">
        <v>1.49224</v>
      </c>
    </row>
    <row r="165" spans="1:9" x14ac:dyDescent="0.25">
      <c r="A165" s="146" t="s">
        <v>191</v>
      </c>
      <c r="B165" s="144">
        <v>42394</v>
      </c>
      <c r="C165" s="144">
        <v>42400</v>
      </c>
      <c r="D165" s="145">
        <v>1.4220900000000001</v>
      </c>
      <c r="E165" s="145">
        <v>1.4074599999999999</v>
      </c>
      <c r="F165" s="145" t="s">
        <v>192</v>
      </c>
      <c r="G165" s="145">
        <v>1.5186999999999999</v>
      </c>
      <c r="H165" s="145">
        <v>1.4687300000000001</v>
      </c>
      <c r="I165" s="145">
        <v>1.4623200000000001</v>
      </c>
    </row>
    <row r="166" spans="1:9" x14ac:dyDescent="0.25">
      <c r="A166" s="146" t="s">
        <v>191</v>
      </c>
      <c r="B166" s="144">
        <v>42401</v>
      </c>
      <c r="C166" s="144">
        <v>42407</v>
      </c>
      <c r="D166" s="145">
        <v>1.27108</v>
      </c>
      <c r="E166" s="145">
        <v>1.31481</v>
      </c>
      <c r="F166" s="145" t="s">
        <v>192</v>
      </c>
      <c r="G166" s="145">
        <v>1.37537</v>
      </c>
      <c r="H166" s="145">
        <v>1.3539300000000001</v>
      </c>
      <c r="I166" s="145">
        <v>1.3414600000000001</v>
      </c>
    </row>
    <row r="167" spans="1:9" x14ac:dyDescent="0.25">
      <c r="A167" s="146" t="s">
        <v>191</v>
      </c>
      <c r="B167" s="144">
        <v>42408</v>
      </c>
      <c r="C167" s="144">
        <v>42414</v>
      </c>
      <c r="D167" s="145">
        <v>1.25698</v>
      </c>
      <c r="E167" s="145">
        <v>1.4178599999999999</v>
      </c>
      <c r="F167" s="145" t="s">
        <v>192</v>
      </c>
      <c r="G167" s="145">
        <v>1.4081699999999999</v>
      </c>
      <c r="H167" s="145">
        <v>1.3382099999999999</v>
      </c>
      <c r="I167" s="145">
        <v>1.351</v>
      </c>
    </row>
    <row r="168" spans="1:9" x14ac:dyDescent="0.25">
      <c r="A168" s="146" t="s">
        <v>191</v>
      </c>
      <c r="B168" s="144">
        <v>42415</v>
      </c>
      <c r="C168" s="144">
        <v>42421</v>
      </c>
      <c r="D168" s="145">
        <v>1.3469800000000001</v>
      </c>
      <c r="E168" s="145">
        <v>1.28468</v>
      </c>
      <c r="F168" s="145" t="s">
        <v>192</v>
      </c>
      <c r="G168" s="145">
        <v>1.4023399999999999</v>
      </c>
      <c r="H168" s="145">
        <v>1.3464799999999999</v>
      </c>
      <c r="I168" s="145">
        <v>1.33551</v>
      </c>
    </row>
    <row r="169" spans="1:9" x14ac:dyDescent="0.25">
      <c r="A169" s="146" t="s">
        <v>191</v>
      </c>
      <c r="B169" s="144">
        <v>42422</v>
      </c>
      <c r="C169" s="144">
        <v>42428</v>
      </c>
      <c r="D169" s="145">
        <v>1.2660199999999999</v>
      </c>
      <c r="E169" s="145">
        <v>1.2603500000000001</v>
      </c>
      <c r="F169" s="145" t="s">
        <v>192</v>
      </c>
      <c r="G169" s="145">
        <v>1.3786400000000001</v>
      </c>
      <c r="H169" s="145">
        <v>1.3233900000000001</v>
      </c>
      <c r="I169" s="145">
        <v>1.3226100000000001</v>
      </c>
    </row>
    <row r="170" spans="1:9" x14ac:dyDescent="0.25">
      <c r="A170" s="146" t="s">
        <v>191</v>
      </c>
      <c r="B170" s="144">
        <v>42429</v>
      </c>
      <c r="C170" s="144">
        <v>42435</v>
      </c>
      <c r="D170" s="145">
        <v>1.2695799999999999</v>
      </c>
      <c r="E170" s="145">
        <v>1.29423</v>
      </c>
      <c r="F170" s="145" t="s">
        <v>192</v>
      </c>
      <c r="G170" s="145">
        <v>1.37748</v>
      </c>
      <c r="H170" s="145">
        <v>1.35005</v>
      </c>
      <c r="I170" s="145">
        <v>1.3389899999999999</v>
      </c>
    </row>
    <row r="171" spans="1:9" x14ac:dyDescent="0.25">
      <c r="A171" s="146" t="s">
        <v>191</v>
      </c>
      <c r="B171" s="144">
        <v>42436</v>
      </c>
      <c r="C171" s="144">
        <v>42442</v>
      </c>
      <c r="D171" s="145">
        <v>1.2735000000000001</v>
      </c>
      <c r="E171" s="145">
        <v>1.2881899999999999</v>
      </c>
      <c r="F171" s="145" t="s">
        <v>192</v>
      </c>
      <c r="G171" s="145">
        <v>1.4506399999999999</v>
      </c>
      <c r="H171" s="145">
        <v>1.3570899999999999</v>
      </c>
      <c r="I171" s="145">
        <v>1.3479399999999999</v>
      </c>
    </row>
    <row r="172" spans="1:9" x14ac:dyDescent="0.25">
      <c r="A172" s="146" t="s">
        <v>191</v>
      </c>
      <c r="B172" s="144">
        <v>42443</v>
      </c>
      <c r="C172" s="144">
        <v>42449</v>
      </c>
      <c r="D172" s="145">
        <v>1.4116500000000001</v>
      </c>
      <c r="E172" s="145">
        <v>1.3064499999999999</v>
      </c>
      <c r="F172" s="145" t="s">
        <v>192</v>
      </c>
      <c r="G172" s="145">
        <v>1.4118599999999999</v>
      </c>
      <c r="H172" s="145">
        <v>1.3477399999999999</v>
      </c>
      <c r="I172" s="145">
        <v>1.3433600000000001</v>
      </c>
    </row>
    <row r="173" spans="1:9" x14ac:dyDescent="0.25">
      <c r="A173" s="146" t="s">
        <v>191</v>
      </c>
      <c r="B173" s="144">
        <v>42450</v>
      </c>
      <c r="C173" s="144">
        <v>42456</v>
      </c>
      <c r="D173" s="145">
        <v>1.27965</v>
      </c>
      <c r="E173" s="145">
        <v>1.2705500000000001</v>
      </c>
      <c r="F173" s="145" t="s">
        <v>192</v>
      </c>
      <c r="G173" s="145">
        <v>1.4057999999999999</v>
      </c>
      <c r="H173" s="145">
        <v>1.3368599999999999</v>
      </c>
      <c r="I173" s="145">
        <v>1.33047</v>
      </c>
    </row>
    <row r="174" spans="1:9" x14ac:dyDescent="0.25">
      <c r="A174" s="146" t="s">
        <v>191</v>
      </c>
      <c r="B174" s="144">
        <v>42457</v>
      </c>
      <c r="C174" s="144">
        <v>42463</v>
      </c>
      <c r="D174" s="145">
        <v>1.27651</v>
      </c>
      <c r="E174" s="145">
        <v>1.3214399999999999</v>
      </c>
      <c r="F174" s="145" t="s">
        <v>192</v>
      </c>
      <c r="G174" s="145">
        <v>1.35825</v>
      </c>
      <c r="H174" s="145">
        <v>1.3272699999999999</v>
      </c>
      <c r="I174" s="145">
        <v>1.3284</v>
      </c>
    </row>
    <row r="175" spans="1:9" x14ac:dyDescent="0.25">
      <c r="A175" s="146" t="s">
        <v>191</v>
      </c>
      <c r="B175" s="144">
        <v>42464</v>
      </c>
      <c r="C175" s="144">
        <v>42470</v>
      </c>
      <c r="D175" s="145">
        <v>1.30975</v>
      </c>
      <c r="E175" s="145">
        <v>1.29878</v>
      </c>
      <c r="F175" s="145" t="s">
        <v>192</v>
      </c>
      <c r="G175" s="145">
        <v>1.3823399999999999</v>
      </c>
      <c r="H175" s="145">
        <v>1.34154</v>
      </c>
      <c r="I175" s="145">
        <v>1.3365199999999999</v>
      </c>
    </row>
    <row r="176" spans="1:9" x14ac:dyDescent="0.25">
      <c r="A176" s="146" t="s">
        <v>191</v>
      </c>
      <c r="B176" s="144">
        <v>42471</v>
      </c>
      <c r="C176" s="144">
        <v>42477</v>
      </c>
      <c r="D176" s="145">
        <v>1.29969</v>
      </c>
      <c r="E176" s="145">
        <v>1.31091</v>
      </c>
      <c r="F176" s="145" t="s">
        <v>192</v>
      </c>
      <c r="G176" s="145">
        <v>1.3875500000000001</v>
      </c>
      <c r="H176" s="145">
        <v>1.3446</v>
      </c>
      <c r="I176" s="145">
        <v>1.33996</v>
      </c>
    </row>
    <row r="177" spans="1:9" x14ac:dyDescent="0.25">
      <c r="A177" s="146" t="s">
        <v>191</v>
      </c>
      <c r="B177" s="144">
        <v>42478</v>
      </c>
      <c r="C177" s="144">
        <v>42484</v>
      </c>
      <c r="D177" s="145">
        <v>1.29922</v>
      </c>
      <c r="E177" s="145">
        <v>1.3062100000000001</v>
      </c>
      <c r="F177" s="145" t="s">
        <v>192</v>
      </c>
      <c r="G177" s="145">
        <v>1.3934800000000001</v>
      </c>
      <c r="H177" s="145">
        <v>1.3399099999999999</v>
      </c>
      <c r="I177" s="145">
        <v>1.33517</v>
      </c>
    </row>
    <row r="178" spans="1:9" x14ac:dyDescent="0.25">
      <c r="A178" s="146" t="s">
        <v>191</v>
      </c>
      <c r="B178" s="144">
        <v>42485</v>
      </c>
      <c r="C178" s="144">
        <v>42491</v>
      </c>
      <c r="D178" s="145">
        <v>1.2975399999999999</v>
      </c>
      <c r="E178" s="145">
        <v>1.2920400000000001</v>
      </c>
      <c r="F178" s="145" t="s">
        <v>192</v>
      </c>
      <c r="G178" s="145">
        <v>1.3902099999999999</v>
      </c>
      <c r="H178" s="145">
        <v>1.33081</v>
      </c>
      <c r="I178" s="145">
        <v>1.3291999999999999</v>
      </c>
    </row>
    <row r="179" spans="1:9" x14ac:dyDescent="0.25">
      <c r="A179" s="146" t="s">
        <v>191</v>
      </c>
      <c r="B179" s="144">
        <v>42492</v>
      </c>
      <c r="C179" s="144">
        <v>42498</v>
      </c>
      <c r="D179" s="145">
        <v>1.2898400000000001</v>
      </c>
      <c r="E179" s="145">
        <v>1.2541599999999999</v>
      </c>
      <c r="F179" s="145" t="s">
        <v>192</v>
      </c>
      <c r="G179" s="145">
        <v>1.3554600000000001</v>
      </c>
      <c r="H179" s="145">
        <v>1.30928</v>
      </c>
      <c r="I179" s="145">
        <v>1.3078399999999999</v>
      </c>
    </row>
    <row r="180" spans="1:9" x14ac:dyDescent="0.25">
      <c r="A180" s="146" t="s">
        <v>191</v>
      </c>
      <c r="B180" s="144">
        <v>42499</v>
      </c>
      <c r="C180" s="144">
        <v>42505</v>
      </c>
      <c r="D180" s="145">
        <v>1.2816799999999999</v>
      </c>
      <c r="E180" s="145">
        <v>1.3090999999999999</v>
      </c>
      <c r="F180" s="145" t="s">
        <v>192</v>
      </c>
      <c r="G180" s="145">
        <v>1.3494900000000001</v>
      </c>
      <c r="H180" s="145">
        <v>1.30596</v>
      </c>
      <c r="I180" s="145">
        <v>1.30888</v>
      </c>
    </row>
    <row r="181" spans="1:9" x14ac:dyDescent="0.25">
      <c r="A181" s="146" t="s">
        <v>191</v>
      </c>
      <c r="B181" s="144">
        <v>42506</v>
      </c>
      <c r="C181" s="144">
        <v>42512</v>
      </c>
      <c r="D181" s="145">
        <v>1.27379</v>
      </c>
      <c r="E181" s="145">
        <v>1.27067</v>
      </c>
      <c r="F181" s="145" t="s">
        <v>192</v>
      </c>
      <c r="G181" s="145">
        <v>1.3624499999999999</v>
      </c>
      <c r="H181" s="145">
        <v>1.31332</v>
      </c>
      <c r="I181" s="145">
        <v>1.3058099999999999</v>
      </c>
    </row>
    <row r="182" spans="1:9" x14ac:dyDescent="0.25">
      <c r="A182" s="146" t="s">
        <v>191</v>
      </c>
      <c r="B182" s="144">
        <v>42513</v>
      </c>
      <c r="C182" s="144">
        <v>42519</v>
      </c>
      <c r="D182" s="145">
        <v>1.2771300000000001</v>
      </c>
      <c r="E182" s="145">
        <v>1.2856000000000001</v>
      </c>
      <c r="F182" s="145" t="s">
        <v>192</v>
      </c>
      <c r="G182" s="145">
        <v>1.36463</v>
      </c>
      <c r="H182" s="145">
        <v>1.3082800000000001</v>
      </c>
      <c r="I182" s="145">
        <v>1.3089599999999999</v>
      </c>
    </row>
    <row r="183" spans="1:9" x14ac:dyDescent="0.25">
      <c r="A183" s="146" t="s">
        <v>191</v>
      </c>
      <c r="B183" s="144">
        <v>42520</v>
      </c>
      <c r="C183" s="144">
        <v>42526</v>
      </c>
      <c r="D183" s="145">
        <v>1.35714</v>
      </c>
      <c r="E183" s="145">
        <v>1.41178</v>
      </c>
      <c r="F183" s="145" t="s">
        <v>192</v>
      </c>
      <c r="G183" s="145">
        <v>1.4189700000000001</v>
      </c>
      <c r="H183" s="145">
        <v>1.3985300000000001</v>
      </c>
      <c r="I183" s="145">
        <v>1.4006099999999999</v>
      </c>
    </row>
    <row r="184" spans="1:9" x14ac:dyDescent="0.25">
      <c r="A184" s="146" t="s">
        <v>191</v>
      </c>
      <c r="B184" s="144">
        <v>42527</v>
      </c>
      <c r="C184" s="144">
        <v>42533</v>
      </c>
      <c r="D184" s="145">
        <v>1.4156500000000001</v>
      </c>
      <c r="E184" s="145">
        <v>1.36886</v>
      </c>
      <c r="F184" s="145" t="s">
        <v>192</v>
      </c>
      <c r="G184" s="145">
        <v>1.4569300000000001</v>
      </c>
      <c r="H184" s="145">
        <v>1.4223600000000001</v>
      </c>
      <c r="I184" s="145">
        <v>1.4188000000000001</v>
      </c>
    </row>
    <row r="185" spans="1:9" x14ac:dyDescent="0.25">
      <c r="A185" s="146" t="s">
        <v>191</v>
      </c>
      <c r="B185" s="144">
        <v>42534</v>
      </c>
      <c r="C185" s="144">
        <v>42540</v>
      </c>
      <c r="D185" s="145">
        <v>1.40462</v>
      </c>
      <c r="E185" s="145">
        <v>1.3824700000000001</v>
      </c>
      <c r="F185" s="145" t="s">
        <v>192</v>
      </c>
      <c r="G185" s="145">
        <v>1.47942</v>
      </c>
      <c r="H185" s="145">
        <v>1.4306399999999999</v>
      </c>
      <c r="I185" s="145">
        <v>1.4293</v>
      </c>
    </row>
    <row r="186" spans="1:9" x14ac:dyDescent="0.25">
      <c r="A186" s="146" t="s">
        <v>191</v>
      </c>
      <c r="B186" s="144">
        <v>42541</v>
      </c>
      <c r="C186" s="144">
        <v>42547</v>
      </c>
      <c r="D186" s="145">
        <v>1.4207000000000001</v>
      </c>
      <c r="E186" s="145">
        <v>1.41967</v>
      </c>
      <c r="F186" s="145" t="s">
        <v>192</v>
      </c>
      <c r="G186" s="145">
        <v>1.4763200000000001</v>
      </c>
      <c r="H186" s="145">
        <v>1.4286300000000001</v>
      </c>
      <c r="I186" s="145">
        <v>1.4296800000000001</v>
      </c>
    </row>
    <row r="187" spans="1:9" x14ac:dyDescent="0.25">
      <c r="A187" s="146" t="s">
        <v>191</v>
      </c>
      <c r="B187" s="144">
        <v>42548</v>
      </c>
      <c r="C187" s="144">
        <v>42554</v>
      </c>
      <c r="D187" s="145">
        <v>1.4063600000000001</v>
      </c>
      <c r="E187" s="145">
        <v>1.42435</v>
      </c>
      <c r="F187" s="145" t="s">
        <v>192</v>
      </c>
      <c r="G187" s="145">
        <v>1.5134099999999999</v>
      </c>
      <c r="H187" s="145">
        <v>1.5065200000000001</v>
      </c>
      <c r="I187" s="145">
        <v>1.4916100000000001</v>
      </c>
    </row>
    <row r="188" spans="1:9" x14ac:dyDescent="0.25">
      <c r="A188" s="146" t="s">
        <v>191</v>
      </c>
      <c r="B188" s="144">
        <v>42555</v>
      </c>
      <c r="C188" s="144">
        <v>42561</v>
      </c>
      <c r="D188" s="145">
        <v>1.5221100000000001</v>
      </c>
      <c r="E188" s="145">
        <v>1.5241</v>
      </c>
      <c r="F188" s="145" t="s">
        <v>192</v>
      </c>
      <c r="G188" s="145">
        <v>1.5951</v>
      </c>
      <c r="H188" s="145">
        <v>1.56142</v>
      </c>
      <c r="I188" s="145">
        <v>1.55789</v>
      </c>
    </row>
    <row r="189" spans="1:9" x14ac:dyDescent="0.25">
      <c r="A189" s="146" t="s">
        <v>191</v>
      </c>
      <c r="B189" s="144">
        <v>42562</v>
      </c>
      <c r="C189" s="144">
        <v>42568</v>
      </c>
      <c r="D189" s="145">
        <v>1.5304500000000001</v>
      </c>
      <c r="E189" s="145">
        <v>1.53203</v>
      </c>
      <c r="F189" s="145" t="s">
        <v>192</v>
      </c>
      <c r="G189" s="145">
        <v>1.6055699999999999</v>
      </c>
      <c r="H189" s="145">
        <v>1.5611999999999999</v>
      </c>
      <c r="I189" s="145">
        <v>1.55775</v>
      </c>
    </row>
    <row r="190" spans="1:9" x14ac:dyDescent="0.25">
      <c r="A190" s="146" t="s">
        <v>191</v>
      </c>
      <c r="B190" s="144">
        <v>42569</v>
      </c>
      <c r="C190" s="144">
        <v>42575</v>
      </c>
      <c r="D190" s="145">
        <v>1.5406200000000001</v>
      </c>
      <c r="E190" s="145">
        <v>1.51644</v>
      </c>
      <c r="F190" s="145" t="s">
        <v>192</v>
      </c>
      <c r="G190" s="145">
        <v>1.60189</v>
      </c>
      <c r="H190" s="145">
        <v>1.56334</v>
      </c>
      <c r="I190" s="145">
        <v>1.55999</v>
      </c>
    </row>
    <row r="191" spans="1:9" x14ac:dyDescent="0.25">
      <c r="A191" s="146" t="s">
        <v>191</v>
      </c>
      <c r="B191" s="144">
        <v>42576</v>
      </c>
      <c r="C191" s="144">
        <v>42582</v>
      </c>
      <c r="D191" s="145">
        <v>1.514</v>
      </c>
      <c r="E191" s="145">
        <v>1.53325</v>
      </c>
      <c r="F191" s="145" t="s">
        <v>192</v>
      </c>
      <c r="G191" s="145">
        <v>1.59188</v>
      </c>
      <c r="H191" s="145">
        <v>1.57138</v>
      </c>
      <c r="I191" s="145">
        <v>1.55904</v>
      </c>
    </row>
    <row r="192" spans="1:9" x14ac:dyDescent="0.25">
      <c r="A192" s="146" t="s">
        <v>191</v>
      </c>
      <c r="B192" s="144">
        <v>42583</v>
      </c>
      <c r="C192" s="144">
        <v>42589</v>
      </c>
      <c r="D192" s="145">
        <v>1.3749</v>
      </c>
      <c r="E192" s="145">
        <v>1.37554</v>
      </c>
      <c r="F192" s="145" t="s">
        <v>192</v>
      </c>
      <c r="G192" s="145">
        <v>1.4601200000000001</v>
      </c>
      <c r="H192" s="145">
        <v>1.4168099999999999</v>
      </c>
      <c r="I192" s="145">
        <v>1.4153500000000001</v>
      </c>
    </row>
    <row r="193" spans="1:9" x14ac:dyDescent="0.25">
      <c r="A193" s="146" t="s">
        <v>191</v>
      </c>
      <c r="B193" s="144">
        <v>42590</v>
      </c>
      <c r="C193" s="144">
        <v>42596</v>
      </c>
      <c r="D193" s="145">
        <v>1.3884300000000001</v>
      </c>
      <c r="E193" s="145">
        <v>1.41398</v>
      </c>
      <c r="F193" s="145" t="s">
        <v>192</v>
      </c>
      <c r="G193" s="145">
        <v>1.48939</v>
      </c>
      <c r="H193" s="145">
        <v>1.4219999999999999</v>
      </c>
      <c r="I193" s="145">
        <v>1.4223300000000001</v>
      </c>
    </row>
    <row r="194" spans="1:9" x14ac:dyDescent="0.25">
      <c r="A194" s="146" t="s">
        <v>191</v>
      </c>
      <c r="B194" s="144">
        <v>42597</v>
      </c>
      <c r="C194" s="144">
        <v>42603</v>
      </c>
      <c r="D194" s="145">
        <v>1.3702000000000001</v>
      </c>
      <c r="E194" s="145">
        <v>1.37978</v>
      </c>
      <c r="F194" s="145" t="s">
        <v>192</v>
      </c>
      <c r="G194" s="145">
        <v>1.46377</v>
      </c>
      <c r="H194" s="145">
        <v>1.4201900000000001</v>
      </c>
      <c r="I194" s="145">
        <v>1.41438</v>
      </c>
    </row>
    <row r="195" spans="1:9" x14ac:dyDescent="0.25">
      <c r="A195" s="146" t="s">
        <v>191</v>
      </c>
      <c r="B195" s="144">
        <v>42604</v>
      </c>
      <c r="C195" s="144">
        <v>42610</v>
      </c>
      <c r="D195" s="145">
        <v>1.3763799999999999</v>
      </c>
      <c r="E195" s="145">
        <v>1.3459700000000001</v>
      </c>
      <c r="F195" s="145" t="s">
        <v>192</v>
      </c>
      <c r="G195" s="145">
        <v>1.4708300000000001</v>
      </c>
      <c r="H195" s="145">
        <v>1.4177500000000001</v>
      </c>
      <c r="I195" s="145">
        <v>1.41388</v>
      </c>
    </row>
    <row r="196" spans="1:9" x14ac:dyDescent="0.25">
      <c r="A196" s="146" t="s">
        <v>191</v>
      </c>
      <c r="B196" s="144">
        <v>42611</v>
      </c>
      <c r="C196" s="144">
        <v>42617</v>
      </c>
      <c r="D196" s="145">
        <v>1.36643</v>
      </c>
      <c r="E196" s="145">
        <v>1.3740000000000001</v>
      </c>
      <c r="F196" s="145" t="s">
        <v>192</v>
      </c>
      <c r="G196" s="145">
        <v>1.41961</v>
      </c>
      <c r="H196" s="145">
        <v>1.37069</v>
      </c>
      <c r="I196" s="145">
        <v>1.3742000000000001</v>
      </c>
    </row>
    <row r="197" spans="1:9" x14ac:dyDescent="0.25">
      <c r="A197" s="146" t="s">
        <v>191</v>
      </c>
      <c r="B197" s="144">
        <v>42618</v>
      </c>
      <c r="C197" s="144">
        <v>42624</v>
      </c>
      <c r="D197" s="145">
        <v>1.31654</v>
      </c>
      <c r="E197" s="145">
        <v>1.3062800000000001</v>
      </c>
      <c r="F197" s="145" t="s">
        <v>192</v>
      </c>
      <c r="G197" s="145">
        <v>1.40038</v>
      </c>
      <c r="H197" s="145">
        <v>1.35039</v>
      </c>
      <c r="I197" s="145">
        <v>1.3441399999999999</v>
      </c>
    </row>
    <row r="198" spans="1:9" x14ac:dyDescent="0.25">
      <c r="A198" s="146" t="s">
        <v>191</v>
      </c>
      <c r="B198" s="144">
        <v>42625</v>
      </c>
      <c r="C198" s="144">
        <v>42631</v>
      </c>
      <c r="D198" s="145">
        <v>1.2935099999999999</v>
      </c>
      <c r="E198" s="145">
        <v>1.3320700000000001</v>
      </c>
      <c r="F198" s="145" t="s">
        <v>192</v>
      </c>
      <c r="G198" s="145">
        <v>1.38442</v>
      </c>
      <c r="H198" s="145">
        <v>1.35121</v>
      </c>
      <c r="I198" s="145">
        <v>1.3457300000000001</v>
      </c>
    </row>
    <row r="199" spans="1:9" x14ac:dyDescent="0.25">
      <c r="A199" s="146" t="s">
        <v>191</v>
      </c>
      <c r="B199" s="144">
        <v>42632</v>
      </c>
      <c r="C199" s="144">
        <v>42638</v>
      </c>
      <c r="D199" s="145">
        <v>1.30158</v>
      </c>
      <c r="E199" s="145">
        <v>1.3081</v>
      </c>
      <c r="F199" s="145" t="s">
        <v>192</v>
      </c>
      <c r="G199" s="145">
        <v>1.3895900000000001</v>
      </c>
      <c r="H199" s="145">
        <v>1.3452900000000001</v>
      </c>
      <c r="I199" s="145">
        <v>1.3437399999999999</v>
      </c>
    </row>
    <row r="200" spans="1:9" x14ac:dyDescent="0.25">
      <c r="A200" s="146" t="s">
        <v>191</v>
      </c>
      <c r="B200" s="144">
        <v>42639</v>
      </c>
      <c r="C200" s="144">
        <v>42645</v>
      </c>
      <c r="D200" s="145">
        <v>1.3180499999999999</v>
      </c>
      <c r="E200" s="145">
        <v>1.35745</v>
      </c>
      <c r="F200" s="145" t="s">
        <v>192</v>
      </c>
      <c r="G200" s="145">
        <v>1.3991899999999999</v>
      </c>
      <c r="H200" s="145">
        <v>1.38571</v>
      </c>
      <c r="I200" s="145">
        <v>1.3786</v>
      </c>
    </row>
    <row r="201" spans="1:9" x14ac:dyDescent="0.25">
      <c r="A201" s="146" t="s">
        <v>191</v>
      </c>
      <c r="B201" s="144">
        <v>42646</v>
      </c>
      <c r="C201" s="144">
        <v>42652</v>
      </c>
      <c r="D201" s="145">
        <v>1.3745499999999999</v>
      </c>
      <c r="E201" s="145">
        <v>1.37374</v>
      </c>
      <c r="F201" s="145" t="s">
        <v>192</v>
      </c>
      <c r="G201" s="145">
        <v>1.46567</v>
      </c>
      <c r="H201" s="145">
        <v>1.4200999999999999</v>
      </c>
      <c r="I201" s="145">
        <v>1.4118999999999999</v>
      </c>
    </row>
    <row r="202" spans="1:9" x14ac:dyDescent="0.25">
      <c r="A202" s="146" t="s">
        <v>191</v>
      </c>
      <c r="B202" s="144">
        <v>42653</v>
      </c>
      <c r="C202" s="144">
        <v>42659</v>
      </c>
      <c r="D202" s="145">
        <v>1.38045</v>
      </c>
      <c r="E202" s="145">
        <v>1.36836</v>
      </c>
      <c r="F202" s="145" t="s">
        <v>192</v>
      </c>
      <c r="G202" s="145">
        <v>1.46977</v>
      </c>
      <c r="H202" s="145">
        <v>1.4213800000000001</v>
      </c>
      <c r="I202" s="145">
        <v>1.4199900000000001</v>
      </c>
    </row>
    <row r="203" spans="1:9" x14ac:dyDescent="0.25">
      <c r="A203" s="146" t="s">
        <v>191</v>
      </c>
      <c r="B203" s="144">
        <v>42660</v>
      </c>
      <c r="C203" s="144">
        <v>42666</v>
      </c>
      <c r="D203" s="145">
        <v>1.38842</v>
      </c>
      <c r="E203" s="145">
        <v>1.40669</v>
      </c>
      <c r="F203" s="145" t="s">
        <v>192</v>
      </c>
      <c r="G203" s="145">
        <v>1.4543600000000001</v>
      </c>
      <c r="H203" s="145">
        <v>1.4213100000000001</v>
      </c>
      <c r="I203" s="145">
        <v>1.4190400000000001</v>
      </c>
    </row>
    <row r="204" spans="1:9" x14ac:dyDescent="0.25">
      <c r="A204" s="146" t="s">
        <v>191</v>
      </c>
      <c r="B204" s="144">
        <v>42667</v>
      </c>
      <c r="C204" s="144">
        <v>42673</v>
      </c>
      <c r="D204" s="145">
        <v>1.37704</v>
      </c>
      <c r="E204" s="145">
        <v>1.37233</v>
      </c>
      <c r="F204" s="145" t="s">
        <v>192</v>
      </c>
      <c r="G204" s="145">
        <v>1.4507000000000001</v>
      </c>
      <c r="H204" s="145">
        <v>1.4198299999999999</v>
      </c>
      <c r="I204" s="145">
        <v>1.4144699999999999</v>
      </c>
    </row>
    <row r="205" spans="1:9" x14ac:dyDescent="0.25">
      <c r="A205" s="146" t="s">
        <v>191</v>
      </c>
      <c r="B205" s="144">
        <v>42674</v>
      </c>
      <c r="C205" s="144">
        <v>42680</v>
      </c>
      <c r="D205" s="145">
        <v>1.44279</v>
      </c>
      <c r="E205" s="145">
        <v>1.46258</v>
      </c>
      <c r="F205" s="145" t="s">
        <v>192</v>
      </c>
      <c r="G205" s="145">
        <v>1.48722</v>
      </c>
      <c r="H205" s="145">
        <v>1.4831399999999999</v>
      </c>
      <c r="I205" s="145">
        <v>1.4774799999999999</v>
      </c>
    </row>
    <row r="206" spans="1:9" x14ac:dyDescent="0.25">
      <c r="A206" s="146" t="s">
        <v>191</v>
      </c>
      <c r="B206" s="144">
        <v>42681</v>
      </c>
      <c r="C206" s="144">
        <v>42687</v>
      </c>
      <c r="D206" s="145">
        <v>1.45953</v>
      </c>
      <c r="E206" s="145">
        <v>1.46214</v>
      </c>
      <c r="F206" s="145" t="s">
        <v>192</v>
      </c>
      <c r="G206" s="145">
        <v>1.5117799999999999</v>
      </c>
      <c r="H206" s="145">
        <v>1.48865</v>
      </c>
      <c r="I206" s="145">
        <v>1.48546</v>
      </c>
    </row>
    <row r="207" spans="1:9" x14ac:dyDescent="0.25">
      <c r="A207" s="146" t="s">
        <v>191</v>
      </c>
      <c r="B207" s="144">
        <v>42688</v>
      </c>
      <c r="C207" s="144">
        <v>42694</v>
      </c>
      <c r="D207" s="145">
        <v>1.46177</v>
      </c>
      <c r="E207" s="145">
        <v>1.4511099999999999</v>
      </c>
      <c r="F207" s="145" t="s">
        <v>192</v>
      </c>
      <c r="G207" s="145">
        <v>1.5169900000000001</v>
      </c>
      <c r="H207" s="145">
        <v>1.48943</v>
      </c>
      <c r="I207" s="145">
        <v>1.48715</v>
      </c>
    </row>
    <row r="208" spans="1:9" x14ac:dyDescent="0.25">
      <c r="A208" s="146" t="s">
        <v>191</v>
      </c>
      <c r="B208" s="144">
        <v>42695</v>
      </c>
      <c r="C208" s="144">
        <v>42701</v>
      </c>
      <c r="D208" s="145">
        <v>1.4588099999999999</v>
      </c>
      <c r="E208" s="145">
        <v>1.46499</v>
      </c>
      <c r="F208" s="145" t="s">
        <v>192</v>
      </c>
      <c r="G208" s="145">
        <v>1.5132000000000001</v>
      </c>
      <c r="H208" s="145">
        <v>1.4870099999999999</v>
      </c>
      <c r="I208" s="145">
        <v>1.48247</v>
      </c>
    </row>
    <row r="209" spans="1:9" x14ac:dyDescent="0.25">
      <c r="A209" s="146" t="s">
        <v>191</v>
      </c>
      <c r="B209" s="144">
        <v>42702</v>
      </c>
      <c r="C209" s="144">
        <v>42708</v>
      </c>
      <c r="D209" s="145">
        <v>1.43214</v>
      </c>
      <c r="E209" s="145">
        <v>1.4470400000000001</v>
      </c>
      <c r="F209" s="145" t="s">
        <v>192</v>
      </c>
      <c r="G209" s="145">
        <v>1.49932</v>
      </c>
      <c r="H209" s="145">
        <v>1.47001</v>
      </c>
      <c r="I209" s="145">
        <v>1.4657500000000001</v>
      </c>
    </row>
    <row r="210" spans="1:9" x14ac:dyDescent="0.25">
      <c r="A210" s="146" t="s">
        <v>191</v>
      </c>
      <c r="B210" s="144">
        <v>42709</v>
      </c>
      <c r="C210" s="144">
        <v>42715</v>
      </c>
      <c r="D210" s="145">
        <v>1.42639</v>
      </c>
      <c r="E210" s="145">
        <v>1.4384600000000001</v>
      </c>
      <c r="F210" s="145" t="s">
        <v>192</v>
      </c>
      <c r="G210" s="145">
        <v>1.4864299999999999</v>
      </c>
      <c r="H210" s="145">
        <v>1.45641</v>
      </c>
      <c r="I210" s="145">
        <v>1.4553400000000001</v>
      </c>
    </row>
    <row r="211" spans="1:9" x14ac:dyDescent="0.25">
      <c r="A211" s="146" t="s">
        <v>191</v>
      </c>
      <c r="B211" s="144">
        <v>42716</v>
      </c>
      <c r="C211" s="144">
        <v>42722</v>
      </c>
      <c r="D211" s="145">
        <v>1.44493</v>
      </c>
      <c r="E211" s="145">
        <v>1.41092</v>
      </c>
      <c r="F211" s="145" t="s">
        <v>192</v>
      </c>
      <c r="G211" s="145">
        <v>1.4836199999999999</v>
      </c>
      <c r="H211" s="145">
        <v>1.45662</v>
      </c>
      <c r="I211" s="145">
        <v>1.4457199999999999</v>
      </c>
    </row>
    <row r="212" spans="1:9" x14ac:dyDescent="0.25">
      <c r="A212" s="146" t="s">
        <v>191</v>
      </c>
      <c r="B212" s="144">
        <v>42723</v>
      </c>
      <c r="C212" s="144">
        <v>42729</v>
      </c>
      <c r="D212" s="145">
        <v>1.4048400000000001</v>
      </c>
      <c r="E212" s="145">
        <v>1.3961699999999999</v>
      </c>
      <c r="F212" s="145" t="s">
        <v>192</v>
      </c>
      <c r="G212" s="145">
        <v>1.4815100000000001</v>
      </c>
      <c r="H212" s="145">
        <v>1.46173</v>
      </c>
      <c r="I212" s="145">
        <v>1.4534499999999999</v>
      </c>
    </row>
    <row r="213" spans="1:9" x14ac:dyDescent="0.25">
      <c r="A213" s="146" t="s">
        <v>191</v>
      </c>
      <c r="B213" s="144">
        <v>42730</v>
      </c>
      <c r="C213" s="144">
        <v>42736</v>
      </c>
      <c r="D213" s="145">
        <v>1.42076</v>
      </c>
      <c r="E213" s="145">
        <v>1.49072</v>
      </c>
      <c r="F213" s="145" t="s">
        <v>192</v>
      </c>
      <c r="G213" s="145">
        <v>1.4897100000000001</v>
      </c>
      <c r="H213" s="145">
        <v>1.48044</v>
      </c>
      <c r="I213" s="145">
        <v>1.48075</v>
      </c>
    </row>
    <row r="214" spans="1:9" x14ac:dyDescent="0.25">
      <c r="A214" s="146" t="s">
        <v>191</v>
      </c>
      <c r="B214" s="144">
        <v>42737</v>
      </c>
      <c r="C214" s="144">
        <v>42743</v>
      </c>
      <c r="D214" s="145">
        <v>1.5816300000000001</v>
      </c>
      <c r="E214" s="145">
        <v>1.5630900000000001</v>
      </c>
      <c r="F214" s="145" t="s">
        <v>192</v>
      </c>
      <c r="G214" s="145">
        <v>1.63527</v>
      </c>
      <c r="H214" s="145">
        <v>1.61127</v>
      </c>
      <c r="I214" s="145">
        <v>1.6020799999999999</v>
      </c>
    </row>
    <row r="215" spans="1:9" x14ac:dyDescent="0.25">
      <c r="A215" s="146" t="s">
        <v>191</v>
      </c>
      <c r="B215" s="144">
        <v>42744</v>
      </c>
      <c r="C215" s="144">
        <v>42750</v>
      </c>
      <c r="D215" s="145">
        <v>1.5610599999999999</v>
      </c>
      <c r="E215" s="145">
        <v>1.5797399999999999</v>
      </c>
      <c r="F215" s="145" t="s">
        <v>192</v>
      </c>
      <c r="G215" s="145">
        <v>1.63914</v>
      </c>
      <c r="H215" s="145">
        <v>1.6106199999999999</v>
      </c>
      <c r="I215" s="145">
        <v>1.6041399999999999</v>
      </c>
    </row>
    <row r="216" spans="1:9" x14ac:dyDescent="0.25">
      <c r="A216" s="146" t="s">
        <v>191</v>
      </c>
      <c r="B216" s="144">
        <v>42751</v>
      </c>
      <c r="C216" s="144">
        <v>42757</v>
      </c>
      <c r="D216" s="145">
        <v>1.56351</v>
      </c>
      <c r="E216" s="145">
        <v>1.56132</v>
      </c>
      <c r="F216" s="145" t="s">
        <v>192</v>
      </c>
      <c r="G216" s="145">
        <v>1.6358600000000001</v>
      </c>
      <c r="H216" s="145">
        <v>1.6099300000000001</v>
      </c>
      <c r="I216" s="145">
        <v>1.60449</v>
      </c>
    </row>
    <row r="217" spans="1:9" x14ac:dyDescent="0.25">
      <c r="A217" s="146" t="s">
        <v>191</v>
      </c>
      <c r="B217" s="144">
        <v>42758</v>
      </c>
      <c r="C217" s="144">
        <v>42764</v>
      </c>
      <c r="D217" s="145">
        <v>1.5805899999999999</v>
      </c>
      <c r="E217" s="145">
        <v>1.56263</v>
      </c>
      <c r="F217" s="145" t="s">
        <v>192</v>
      </c>
      <c r="G217" s="145">
        <v>1.6405000000000001</v>
      </c>
      <c r="H217" s="145">
        <v>1.60768</v>
      </c>
      <c r="I217" s="145">
        <v>1.59978</v>
      </c>
    </row>
    <row r="218" spans="1:9" x14ac:dyDescent="0.25">
      <c r="A218" s="146" t="s">
        <v>191</v>
      </c>
      <c r="B218" s="144">
        <v>42765</v>
      </c>
      <c r="C218" s="144">
        <v>42771</v>
      </c>
      <c r="D218" s="145">
        <v>1.5510600000000001</v>
      </c>
      <c r="E218" s="145">
        <v>1.5811200000000001</v>
      </c>
      <c r="F218" s="145" t="s">
        <v>192</v>
      </c>
      <c r="G218" s="145">
        <v>1.6211500000000001</v>
      </c>
      <c r="H218" s="145">
        <v>1.59612</v>
      </c>
      <c r="I218" s="145">
        <v>1.5899000000000001</v>
      </c>
    </row>
    <row r="219" spans="1:9" x14ac:dyDescent="0.25">
      <c r="A219" s="146" t="s">
        <v>191</v>
      </c>
      <c r="B219" s="144">
        <v>42772</v>
      </c>
      <c r="C219" s="144">
        <v>42778</v>
      </c>
      <c r="D219" s="145">
        <v>1.55053</v>
      </c>
      <c r="E219" s="145">
        <v>1.5564</v>
      </c>
      <c r="F219" s="145" t="s">
        <v>192</v>
      </c>
      <c r="G219" s="145">
        <v>1.61453</v>
      </c>
      <c r="H219" s="145">
        <v>1.5912200000000001</v>
      </c>
      <c r="I219" s="145">
        <v>1.5872900000000001</v>
      </c>
    </row>
    <row r="220" spans="1:9" x14ac:dyDescent="0.25">
      <c r="A220" s="146" t="s">
        <v>191</v>
      </c>
      <c r="B220" s="144">
        <v>42779</v>
      </c>
      <c r="C220" s="144">
        <v>42785</v>
      </c>
      <c r="D220" s="145">
        <v>1.5466899999999999</v>
      </c>
      <c r="E220" s="145">
        <v>1.5498700000000001</v>
      </c>
      <c r="F220" s="145" t="s">
        <v>192</v>
      </c>
      <c r="G220" s="145">
        <v>1.6188899999999999</v>
      </c>
      <c r="H220" s="145">
        <v>1.5964100000000001</v>
      </c>
      <c r="I220" s="145">
        <v>1.58589</v>
      </c>
    </row>
    <row r="221" spans="1:9" x14ac:dyDescent="0.25">
      <c r="A221" s="146" t="s">
        <v>191</v>
      </c>
      <c r="B221" s="144">
        <v>42786</v>
      </c>
      <c r="C221" s="144">
        <v>42792</v>
      </c>
      <c r="D221" s="145">
        <v>1.55646</v>
      </c>
      <c r="E221" s="145">
        <v>1.5581199999999999</v>
      </c>
      <c r="F221" s="145" t="s">
        <v>192</v>
      </c>
      <c r="G221" s="145">
        <v>1.62703</v>
      </c>
      <c r="H221" s="145">
        <v>1.5971200000000001</v>
      </c>
      <c r="I221" s="145">
        <v>1.5919099999999999</v>
      </c>
    </row>
    <row r="222" spans="1:9" x14ac:dyDescent="0.25">
      <c r="A222" s="146" t="s">
        <v>191</v>
      </c>
      <c r="B222" s="144">
        <v>42793</v>
      </c>
      <c r="C222" s="144">
        <v>42799</v>
      </c>
      <c r="D222" s="145">
        <v>1.5249900000000001</v>
      </c>
      <c r="E222" s="145">
        <v>1.5102800000000001</v>
      </c>
      <c r="F222" s="145" t="s">
        <v>192</v>
      </c>
      <c r="G222" s="145">
        <v>1.5947199999999999</v>
      </c>
      <c r="H222" s="145">
        <v>1.5719000000000001</v>
      </c>
      <c r="I222" s="145">
        <v>1.5671299999999999</v>
      </c>
    </row>
    <row r="223" spans="1:9" x14ac:dyDescent="0.25">
      <c r="A223" s="146" t="s">
        <v>191</v>
      </c>
      <c r="B223" s="144">
        <v>42800</v>
      </c>
      <c r="C223" s="144">
        <v>42806</v>
      </c>
      <c r="D223" s="145">
        <v>1.5181800000000001</v>
      </c>
      <c r="E223" s="145">
        <v>1.5410200000000001</v>
      </c>
      <c r="F223" s="145" t="s">
        <v>192</v>
      </c>
      <c r="G223" s="145">
        <v>1.5921700000000001</v>
      </c>
      <c r="H223" s="145">
        <v>1.5665899999999999</v>
      </c>
      <c r="I223" s="145">
        <v>1.5609900000000001</v>
      </c>
    </row>
    <row r="224" spans="1:9" x14ac:dyDescent="0.25">
      <c r="A224" s="146" t="s">
        <v>191</v>
      </c>
      <c r="B224" s="144">
        <v>42807</v>
      </c>
      <c r="C224" s="144">
        <v>42813</v>
      </c>
      <c r="D224" s="145">
        <v>1.5288999999999999</v>
      </c>
      <c r="E224" s="145">
        <v>1.52749</v>
      </c>
      <c r="F224" s="145" t="s">
        <v>192</v>
      </c>
      <c r="G224" s="145">
        <v>1.5954200000000001</v>
      </c>
      <c r="H224" s="145">
        <v>1.5685100000000001</v>
      </c>
      <c r="I224" s="145">
        <v>1.56433</v>
      </c>
    </row>
    <row r="225" spans="1:9" x14ac:dyDescent="0.25">
      <c r="A225" s="146" t="s">
        <v>191</v>
      </c>
      <c r="B225" s="144">
        <v>42814</v>
      </c>
      <c r="C225" s="144">
        <v>42820</v>
      </c>
      <c r="D225" s="145">
        <v>1.5219800000000001</v>
      </c>
      <c r="E225" s="145">
        <v>1.52691</v>
      </c>
      <c r="F225" s="145" t="s">
        <v>192</v>
      </c>
      <c r="G225" s="145">
        <v>1.5979399999999999</v>
      </c>
      <c r="H225" s="145">
        <v>1.5644499999999999</v>
      </c>
      <c r="I225" s="145">
        <v>1.56304</v>
      </c>
    </row>
    <row r="226" spans="1:9" x14ac:dyDescent="0.25">
      <c r="A226" s="146" t="s">
        <v>191</v>
      </c>
      <c r="B226" s="144">
        <v>42821</v>
      </c>
      <c r="C226" s="144">
        <v>42827</v>
      </c>
      <c r="D226" s="145">
        <v>1.53772</v>
      </c>
      <c r="E226" s="145">
        <v>1.53545</v>
      </c>
      <c r="F226" s="145" t="s">
        <v>192</v>
      </c>
      <c r="G226" s="145">
        <v>1.58823</v>
      </c>
      <c r="H226" s="145">
        <v>1.5583899999999999</v>
      </c>
      <c r="I226" s="145">
        <v>1.5562400000000001</v>
      </c>
    </row>
    <row r="227" spans="1:9" x14ac:dyDescent="0.25">
      <c r="A227" s="146" t="s">
        <v>191</v>
      </c>
      <c r="B227" s="144">
        <v>42828</v>
      </c>
      <c r="C227" s="144">
        <v>42834</v>
      </c>
      <c r="D227" s="145">
        <v>1.51983</v>
      </c>
      <c r="E227" s="145">
        <v>1.4989300000000001</v>
      </c>
      <c r="F227" s="145" t="s">
        <v>192</v>
      </c>
      <c r="G227" s="145">
        <v>1.5604</v>
      </c>
      <c r="H227" s="145">
        <v>1.53759</v>
      </c>
      <c r="I227" s="145">
        <v>1.5307999999999999</v>
      </c>
    </row>
    <row r="228" spans="1:9" x14ac:dyDescent="0.25">
      <c r="A228" s="146" t="s">
        <v>191</v>
      </c>
      <c r="B228" s="144">
        <v>42835</v>
      </c>
      <c r="C228" s="144">
        <v>42841</v>
      </c>
      <c r="D228" s="145">
        <v>1.4918199999999999</v>
      </c>
      <c r="E228" s="145">
        <v>1.48465</v>
      </c>
      <c r="F228" s="145" t="s">
        <v>192</v>
      </c>
      <c r="G228" s="145">
        <v>1.56267</v>
      </c>
      <c r="H228" s="145">
        <v>1.54145</v>
      </c>
      <c r="I228" s="145">
        <v>1.5344599999999999</v>
      </c>
    </row>
    <row r="229" spans="1:9" x14ac:dyDescent="0.25">
      <c r="A229" s="146" t="s">
        <v>191</v>
      </c>
      <c r="B229" s="144">
        <v>42842</v>
      </c>
      <c r="C229" s="144">
        <v>42848</v>
      </c>
      <c r="D229" s="145">
        <v>1.49441</v>
      </c>
      <c r="E229" s="145">
        <v>1.4969600000000001</v>
      </c>
      <c r="F229" s="145" t="s">
        <v>192</v>
      </c>
      <c r="G229" s="145">
        <v>1.5697399999999999</v>
      </c>
      <c r="H229" s="145">
        <v>1.5378099999999999</v>
      </c>
      <c r="I229" s="145">
        <v>1.53115</v>
      </c>
    </row>
    <row r="230" spans="1:9" x14ac:dyDescent="0.25">
      <c r="A230" s="146" t="s">
        <v>191</v>
      </c>
      <c r="B230" s="144">
        <v>42849</v>
      </c>
      <c r="C230" s="144">
        <v>42855</v>
      </c>
      <c r="D230" s="145">
        <v>1.50667</v>
      </c>
      <c r="E230" s="145">
        <v>1.5241899999999999</v>
      </c>
      <c r="F230" s="145" t="s">
        <v>192</v>
      </c>
      <c r="G230" s="145">
        <v>1.5700799999999999</v>
      </c>
      <c r="H230" s="145">
        <v>1.5384800000000001</v>
      </c>
      <c r="I230" s="145">
        <v>1.5369699999999999</v>
      </c>
    </row>
    <row r="231" spans="1:9" x14ac:dyDescent="0.25">
      <c r="A231" s="146" t="s">
        <v>191</v>
      </c>
      <c r="B231" s="144">
        <v>42856</v>
      </c>
      <c r="C231" s="144">
        <v>42862</v>
      </c>
      <c r="D231" s="145">
        <v>1.5396300000000001</v>
      </c>
      <c r="E231" s="145">
        <v>1.53372</v>
      </c>
      <c r="F231" s="145" t="s">
        <v>192</v>
      </c>
      <c r="G231" s="145">
        <v>1.60825</v>
      </c>
      <c r="H231" s="145">
        <v>1.58297</v>
      </c>
      <c r="I231" s="145">
        <v>1.5761400000000001</v>
      </c>
    </row>
    <row r="232" spans="1:9" x14ac:dyDescent="0.25">
      <c r="A232" s="146" t="s">
        <v>191</v>
      </c>
      <c r="B232" s="144">
        <v>42863</v>
      </c>
      <c r="C232" s="144">
        <v>42869</v>
      </c>
      <c r="D232" s="145">
        <v>1.5395099999999999</v>
      </c>
      <c r="E232" s="145">
        <v>1.5561400000000001</v>
      </c>
      <c r="F232" s="145" t="s">
        <v>192</v>
      </c>
      <c r="G232" s="145">
        <v>1.6075999999999999</v>
      </c>
      <c r="H232" s="145">
        <v>1.58331</v>
      </c>
      <c r="I232" s="145">
        <v>1.57829</v>
      </c>
    </row>
    <row r="233" spans="1:9" x14ac:dyDescent="0.25">
      <c r="A233" s="146" t="s">
        <v>191</v>
      </c>
      <c r="B233" s="144">
        <v>42870</v>
      </c>
      <c r="C233" s="144">
        <v>42876</v>
      </c>
      <c r="D233" s="145">
        <v>1.53047</v>
      </c>
      <c r="E233" s="145">
        <v>1.52437</v>
      </c>
      <c r="F233" s="145" t="s">
        <v>192</v>
      </c>
      <c r="G233" s="145">
        <v>1.6133999999999999</v>
      </c>
      <c r="H233" s="145">
        <v>1.5858099999999999</v>
      </c>
      <c r="I233" s="145">
        <v>1.5791599999999999</v>
      </c>
    </row>
    <row r="234" spans="1:9" x14ac:dyDescent="0.25">
      <c r="A234" s="146" t="s">
        <v>191</v>
      </c>
      <c r="B234" s="144">
        <v>42877</v>
      </c>
      <c r="C234" s="144">
        <v>42883</v>
      </c>
      <c r="D234" s="145">
        <v>1.5502199999999999</v>
      </c>
      <c r="E234" s="145">
        <v>1.54834</v>
      </c>
      <c r="F234" s="145" t="s">
        <v>192</v>
      </c>
      <c r="G234" s="145">
        <v>1.6119399999999999</v>
      </c>
      <c r="H234" s="145">
        <v>1.5841400000000001</v>
      </c>
      <c r="I234" s="145">
        <v>1.5805899999999999</v>
      </c>
    </row>
    <row r="235" spans="1:9" x14ac:dyDescent="0.25">
      <c r="A235" s="146" t="s">
        <v>191</v>
      </c>
      <c r="B235" s="144">
        <v>42884</v>
      </c>
      <c r="C235" s="144">
        <v>42890</v>
      </c>
      <c r="D235" s="145">
        <v>1.55403</v>
      </c>
      <c r="E235" s="145">
        <v>1.51702</v>
      </c>
      <c r="F235" s="145" t="s">
        <v>192</v>
      </c>
      <c r="G235" s="145">
        <v>1.5799799999999999</v>
      </c>
      <c r="H235" s="145">
        <v>1.53444</v>
      </c>
      <c r="I235" s="145">
        <v>1.5351600000000001</v>
      </c>
    </row>
    <row r="236" spans="1:9" x14ac:dyDescent="0.25">
      <c r="A236" s="146" t="s">
        <v>191</v>
      </c>
      <c r="B236" s="144">
        <v>42891</v>
      </c>
      <c r="C236" s="144">
        <v>42897</v>
      </c>
      <c r="D236" s="145">
        <v>1.4750099999999999</v>
      </c>
      <c r="E236" s="145">
        <v>1.4888399999999999</v>
      </c>
      <c r="F236" s="145" t="s">
        <v>192</v>
      </c>
      <c r="G236" s="145">
        <v>1.53965</v>
      </c>
      <c r="H236" s="145">
        <v>1.51353</v>
      </c>
      <c r="I236" s="145">
        <v>1.5105900000000001</v>
      </c>
    </row>
    <row r="237" spans="1:9" x14ac:dyDescent="0.25">
      <c r="A237" s="146" t="s">
        <v>191</v>
      </c>
      <c r="B237" s="144">
        <v>42898</v>
      </c>
      <c r="C237" s="144">
        <v>42904</v>
      </c>
      <c r="D237" s="145">
        <v>1.45943</v>
      </c>
      <c r="E237" s="145">
        <v>1.4494899999999999</v>
      </c>
      <c r="F237" s="145" t="s">
        <v>192</v>
      </c>
      <c r="G237" s="145">
        <v>1.53877</v>
      </c>
      <c r="H237" s="145">
        <v>1.51224</v>
      </c>
      <c r="I237" s="145">
        <v>1.50315</v>
      </c>
    </row>
    <row r="238" spans="1:9" x14ac:dyDescent="0.25">
      <c r="A238" s="146" t="s">
        <v>191</v>
      </c>
      <c r="B238" s="144">
        <v>42905</v>
      </c>
      <c r="C238" s="144">
        <v>42911</v>
      </c>
      <c r="D238" s="145">
        <v>1.4786900000000001</v>
      </c>
      <c r="E238" s="145">
        <v>1.4583600000000001</v>
      </c>
      <c r="F238" s="145" t="s">
        <v>192</v>
      </c>
      <c r="G238" s="145">
        <v>1.54931</v>
      </c>
      <c r="H238" s="145">
        <v>1.50864</v>
      </c>
      <c r="I238" s="145">
        <v>1.4994700000000001</v>
      </c>
    </row>
    <row r="239" spans="1:9" x14ac:dyDescent="0.25">
      <c r="A239" s="146" t="s">
        <v>191</v>
      </c>
      <c r="B239" s="144">
        <v>42912</v>
      </c>
      <c r="C239" s="144">
        <v>42918</v>
      </c>
      <c r="D239" s="145">
        <v>1.4646399999999999</v>
      </c>
      <c r="E239" s="145">
        <v>1.4968699999999999</v>
      </c>
      <c r="F239" s="145" t="s">
        <v>192</v>
      </c>
      <c r="G239" s="145">
        <v>1.5442</v>
      </c>
      <c r="H239" s="145">
        <v>1.5130300000000001</v>
      </c>
      <c r="I239" s="145">
        <v>1.5116000000000001</v>
      </c>
    </row>
    <row r="240" spans="1:9" x14ac:dyDescent="0.25">
      <c r="A240" s="146" t="s">
        <v>191</v>
      </c>
      <c r="B240" s="144">
        <v>42919</v>
      </c>
      <c r="C240" s="144">
        <v>42925</v>
      </c>
      <c r="D240" s="145">
        <v>1.41622</v>
      </c>
      <c r="E240" s="145">
        <v>1.38611</v>
      </c>
      <c r="F240" s="145" t="s">
        <v>192</v>
      </c>
      <c r="G240" s="145">
        <v>1.4672099999999999</v>
      </c>
      <c r="H240" s="145">
        <v>1.50406</v>
      </c>
      <c r="I240" s="145">
        <v>1.48448</v>
      </c>
    </row>
    <row r="241" spans="1:9" x14ac:dyDescent="0.25">
      <c r="A241" s="146" t="s">
        <v>191</v>
      </c>
      <c r="B241" s="144">
        <v>42926</v>
      </c>
      <c r="C241" s="144">
        <v>42932</v>
      </c>
      <c r="D241" s="145">
        <v>1.43529</v>
      </c>
      <c r="E241" s="145">
        <v>1.4182699999999999</v>
      </c>
      <c r="F241" s="145" t="s">
        <v>192</v>
      </c>
      <c r="G241" s="145">
        <v>1.48353</v>
      </c>
      <c r="H241" s="145">
        <v>1.5015400000000001</v>
      </c>
      <c r="I241" s="145">
        <v>1.4838100000000001</v>
      </c>
    </row>
    <row r="242" spans="1:9" x14ac:dyDescent="0.25">
      <c r="A242" s="146" t="s">
        <v>191</v>
      </c>
      <c r="B242" s="144">
        <v>42933</v>
      </c>
      <c r="C242" s="144">
        <v>42939</v>
      </c>
      <c r="D242" s="145">
        <v>1.4244699999999999</v>
      </c>
      <c r="E242" s="145">
        <v>1.3990199999999999</v>
      </c>
      <c r="F242" s="145" t="s">
        <v>192</v>
      </c>
      <c r="G242" s="145">
        <v>1.4755</v>
      </c>
      <c r="H242" s="145">
        <v>1.49695</v>
      </c>
      <c r="I242" s="145">
        <v>1.47644</v>
      </c>
    </row>
    <row r="243" spans="1:9" x14ac:dyDescent="0.25">
      <c r="A243" s="146" t="s">
        <v>191</v>
      </c>
      <c r="B243" s="144">
        <v>42940</v>
      </c>
      <c r="C243" s="144">
        <v>42946</v>
      </c>
      <c r="D243" s="145">
        <v>1.4240600000000001</v>
      </c>
      <c r="E243" s="145">
        <v>1.4188099999999999</v>
      </c>
      <c r="F243" s="145" t="s">
        <v>192</v>
      </c>
      <c r="G243" s="145">
        <v>1.47505</v>
      </c>
      <c r="H243" s="145">
        <v>1.4999</v>
      </c>
      <c r="I243" s="145">
        <v>1.4814499999999999</v>
      </c>
    </row>
    <row r="244" spans="1:9" x14ac:dyDescent="0.25">
      <c r="A244" s="146" t="s">
        <v>191</v>
      </c>
      <c r="B244" s="144">
        <v>42947</v>
      </c>
      <c r="C244" s="144">
        <v>42953</v>
      </c>
      <c r="D244" s="145">
        <v>1.4494899999999999</v>
      </c>
      <c r="E244" s="145">
        <v>1.44872</v>
      </c>
      <c r="F244" s="145" t="s">
        <v>192</v>
      </c>
      <c r="G244" s="145">
        <v>1.49593</v>
      </c>
      <c r="H244" s="145">
        <v>1.5263500000000001</v>
      </c>
      <c r="I244" s="145">
        <v>1.5095099999999999</v>
      </c>
    </row>
    <row r="245" spans="1:9" x14ac:dyDescent="0.25">
      <c r="A245" s="146" t="s">
        <v>191</v>
      </c>
      <c r="B245" s="144">
        <v>42954</v>
      </c>
      <c r="C245" s="144">
        <v>42960</v>
      </c>
      <c r="D245" s="145">
        <v>1.46553</v>
      </c>
      <c r="E245" s="145">
        <v>1.45573</v>
      </c>
      <c r="F245" s="145" t="s">
        <v>192</v>
      </c>
      <c r="G245" s="145">
        <v>1.5022899999999999</v>
      </c>
      <c r="H245" s="145">
        <v>1.52708</v>
      </c>
      <c r="I245" s="145">
        <v>1.5086900000000001</v>
      </c>
    </row>
    <row r="246" spans="1:9" x14ac:dyDescent="0.25">
      <c r="A246" s="146" t="s">
        <v>191</v>
      </c>
      <c r="B246" s="144">
        <v>42961</v>
      </c>
      <c r="C246" s="144">
        <v>42967</v>
      </c>
      <c r="D246" s="145">
        <v>1.4456899999999999</v>
      </c>
      <c r="E246" s="145">
        <v>1.4354499999999999</v>
      </c>
      <c r="F246" s="145" t="s">
        <v>192</v>
      </c>
      <c r="G246" s="145">
        <v>1.5056099999999999</v>
      </c>
      <c r="H246" s="145">
        <v>1.52904</v>
      </c>
      <c r="I246" s="145">
        <v>1.51051</v>
      </c>
    </row>
    <row r="247" spans="1:9" x14ac:dyDescent="0.25">
      <c r="A247" s="146" t="s">
        <v>191</v>
      </c>
      <c r="B247" s="144">
        <v>42968</v>
      </c>
      <c r="C247" s="144">
        <v>42974</v>
      </c>
      <c r="D247" s="145">
        <v>1.4597199999999999</v>
      </c>
      <c r="E247" s="145">
        <v>1.45587</v>
      </c>
      <c r="F247" s="145" t="s">
        <v>192</v>
      </c>
      <c r="G247" s="145">
        <v>1.49586</v>
      </c>
      <c r="H247" s="145">
        <v>1.5227200000000001</v>
      </c>
      <c r="I247" s="145">
        <v>1.5090399999999999</v>
      </c>
    </row>
    <row r="248" spans="1:9" x14ac:dyDescent="0.25">
      <c r="A248" s="146" t="s">
        <v>191</v>
      </c>
      <c r="B248" s="144">
        <v>42975</v>
      </c>
      <c r="C248" s="144">
        <v>42981</v>
      </c>
      <c r="D248" s="145">
        <v>1.4541500000000001</v>
      </c>
      <c r="E248" s="145">
        <v>1.48238</v>
      </c>
      <c r="F248" s="145" t="s">
        <v>192</v>
      </c>
      <c r="G248" s="145">
        <v>1.5293099999999999</v>
      </c>
      <c r="H248" s="145">
        <v>1.56206</v>
      </c>
      <c r="I248" s="145">
        <v>1.5358799999999999</v>
      </c>
    </row>
    <row r="249" spans="1:9" x14ac:dyDescent="0.25">
      <c r="A249" s="146" t="s">
        <v>191</v>
      </c>
      <c r="B249" s="144">
        <v>42982</v>
      </c>
      <c r="C249" s="144">
        <v>42988</v>
      </c>
      <c r="D249" s="145">
        <v>1.5633600000000001</v>
      </c>
      <c r="E249" s="145">
        <v>1.51264</v>
      </c>
      <c r="F249" s="145" t="s">
        <v>192</v>
      </c>
      <c r="G249" s="145">
        <v>1.56572</v>
      </c>
      <c r="H249" s="145">
        <v>1.60846</v>
      </c>
      <c r="I249" s="145">
        <v>1.5931200000000001</v>
      </c>
    </row>
    <row r="250" spans="1:9" x14ac:dyDescent="0.25">
      <c r="A250" s="146" t="s">
        <v>191</v>
      </c>
      <c r="B250" s="144">
        <v>42989</v>
      </c>
      <c r="C250" s="144">
        <v>42995</v>
      </c>
      <c r="D250" s="145">
        <v>1.5524199999999999</v>
      </c>
      <c r="E250" s="145">
        <v>1.5533399999999999</v>
      </c>
      <c r="F250" s="145" t="s">
        <v>192</v>
      </c>
      <c r="G250" s="145">
        <v>1.56843</v>
      </c>
      <c r="H250" s="145">
        <v>1.60686</v>
      </c>
      <c r="I250" s="145">
        <v>1.5935699999999999</v>
      </c>
    </row>
    <row r="251" spans="1:9" x14ac:dyDescent="0.25">
      <c r="A251" s="146" t="s">
        <v>191</v>
      </c>
      <c r="B251" s="144">
        <v>42996</v>
      </c>
      <c r="C251" s="144">
        <v>43002</v>
      </c>
      <c r="D251" s="145">
        <v>1.53765</v>
      </c>
      <c r="E251" s="145">
        <v>1.5098800000000001</v>
      </c>
      <c r="F251" s="145" t="s">
        <v>192</v>
      </c>
      <c r="G251" s="145">
        <v>1.58453</v>
      </c>
      <c r="H251" s="145">
        <v>1.6107499999999999</v>
      </c>
      <c r="I251" s="145">
        <v>1.5858000000000001</v>
      </c>
    </row>
    <row r="252" spans="1:9" x14ac:dyDescent="0.25">
      <c r="A252" s="146" t="s">
        <v>191</v>
      </c>
      <c r="B252" s="144">
        <v>43003</v>
      </c>
      <c r="C252" s="144">
        <v>43009</v>
      </c>
      <c r="D252" s="145">
        <v>1.5338099999999999</v>
      </c>
      <c r="E252" s="145">
        <v>1.53983</v>
      </c>
      <c r="F252" s="145" t="s">
        <v>192</v>
      </c>
      <c r="G252" s="145">
        <v>1.62371</v>
      </c>
      <c r="H252" s="145">
        <v>1.6304700000000001</v>
      </c>
      <c r="I252" s="145">
        <v>1.61168</v>
      </c>
    </row>
    <row r="253" spans="1:9" x14ac:dyDescent="0.25">
      <c r="A253" s="146" t="s">
        <v>191</v>
      </c>
      <c r="B253" s="144">
        <v>43010</v>
      </c>
      <c r="C253" s="144">
        <v>43016</v>
      </c>
      <c r="D253" s="145">
        <v>1.70364</v>
      </c>
      <c r="E253" s="145">
        <v>1.6793100000000001</v>
      </c>
      <c r="F253" s="145" t="s">
        <v>192</v>
      </c>
      <c r="G253" s="145">
        <v>1.75651</v>
      </c>
      <c r="H253" s="145">
        <v>1.7778400000000001</v>
      </c>
      <c r="I253" s="145">
        <v>1.75576</v>
      </c>
    </row>
    <row r="254" spans="1:9" x14ac:dyDescent="0.25">
      <c r="A254" s="146" t="s">
        <v>191</v>
      </c>
      <c r="B254" s="144">
        <v>43017</v>
      </c>
      <c r="C254" s="144">
        <v>43023</v>
      </c>
      <c r="D254" s="145">
        <v>1.7155800000000001</v>
      </c>
      <c r="E254" s="145">
        <v>1.7358</v>
      </c>
      <c r="F254" s="145" t="s">
        <v>192</v>
      </c>
      <c r="G254" s="145">
        <v>1.7513399999999999</v>
      </c>
      <c r="H254" s="145">
        <v>1.7826</v>
      </c>
      <c r="I254" s="145">
        <v>1.77305</v>
      </c>
    </row>
    <row r="255" spans="1:9" x14ac:dyDescent="0.25">
      <c r="A255" s="146" t="s">
        <v>191</v>
      </c>
      <c r="B255" s="144">
        <v>43024</v>
      </c>
      <c r="C255" s="144">
        <v>43030</v>
      </c>
      <c r="D255" s="145">
        <v>1.72506</v>
      </c>
      <c r="E255" s="145">
        <v>1.7165600000000001</v>
      </c>
      <c r="F255" s="145" t="s">
        <v>192</v>
      </c>
      <c r="G255" s="145">
        <v>1.7663899999999999</v>
      </c>
      <c r="H255" s="145">
        <v>1.78854</v>
      </c>
      <c r="I255" s="145">
        <v>1.7739499999999999</v>
      </c>
    </row>
    <row r="256" spans="1:9" x14ac:dyDescent="0.25">
      <c r="A256" s="146" t="s">
        <v>191</v>
      </c>
      <c r="B256" s="144">
        <v>43031</v>
      </c>
      <c r="C256" s="144">
        <v>43037</v>
      </c>
      <c r="D256" s="145">
        <v>1.71045</v>
      </c>
      <c r="E256" s="145">
        <v>1.7030400000000001</v>
      </c>
      <c r="F256" s="145" t="s">
        <v>192</v>
      </c>
      <c r="G256" s="145">
        <v>1.76667</v>
      </c>
      <c r="H256" s="145">
        <v>1.7883500000000001</v>
      </c>
      <c r="I256" s="145">
        <v>1.7610399999999999</v>
      </c>
    </row>
    <row r="257" spans="1:9" x14ac:dyDescent="0.25">
      <c r="A257" s="146" t="s">
        <v>191</v>
      </c>
      <c r="B257" s="144">
        <v>43038</v>
      </c>
      <c r="C257" s="144">
        <v>43044</v>
      </c>
      <c r="D257" s="145">
        <v>1.66167</v>
      </c>
      <c r="E257" s="145">
        <v>1.6652100000000001</v>
      </c>
      <c r="F257" s="145" t="s">
        <v>192</v>
      </c>
      <c r="G257" s="145">
        <v>1.71496</v>
      </c>
      <c r="H257" s="145">
        <v>1.72756</v>
      </c>
      <c r="I257" s="145">
        <v>1.7174</v>
      </c>
    </row>
    <row r="258" spans="1:9" x14ac:dyDescent="0.25">
      <c r="A258" s="146" t="s">
        <v>191</v>
      </c>
      <c r="B258" s="144">
        <v>43045</v>
      </c>
      <c r="C258" s="144">
        <v>43051</v>
      </c>
      <c r="D258" s="145">
        <v>1.6480300000000001</v>
      </c>
      <c r="E258" s="145">
        <v>1.64266</v>
      </c>
      <c r="F258" s="145" t="s">
        <v>192</v>
      </c>
      <c r="G258" s="145">
        <v>1.68988</v>
      </c>
      <c r="H258" s="145">
        <v>1.71322</v>
      </c>
      <c r="I258" s="145">
        <v>1.7013499999999999</v>
      </c>
    </row>
    <row r="259" spans="1:9" x14ac:dyDescent="0.25">
      <c r="A259" s="146" t="s">
        <v>191</v>
      </c>
      <c r="B259" s="144">
        <v>43052</v>
      </c>
      <c r="C259" s="144">
        <v>43058</v>
      </c>
      <c r="D259" s="145">
        <v>1.6556900000000001</v>
      </c>
      <c r="E259" s="145">
        <v>1.63907</v>
      </c>
      <c r="F259" s="145" t="s">
        <v>192</v>
      </c>
      <c r="G259" s="145">
        <v>1.6803699999999999</v>
      </c>
      <c r="H259" s="145">
        <v>1.7138100000000001</v>
      </c>
      <c r="I259" s="145">
        <v>1.6971499999999999</v>
      </c>
    </row>
    <row r="260" spans="1:9" x14ac:dyDescent="0.25">
      <c r="A260" s="146" t="s">
        <v>191</v>
      </c>
      <c r="B260" s="144">
        <v>43059</v>
      </c>
      <c r="C260" s="144">
        <v>43065</v>
      </c>
      <c r="D260" s="145">
        <v>1.6534</v>
      </c>
      <c r="E260" s="145">
        <v>1.6381600000000001</v>
      </c>
      <c r="F260" s="145" t="s">
        <v>192</v>
      </c>
      <c r="G260" s="145">
        <v>1.6923600000000001</v>
      </c>
      <c r="H260" s="145">
        <v>1.7168600000000001</v>
      </c>
      <c r="I260" s="145">
        <v>1.7021999999999999</v>
      </c>
    </row>
    <row r="261" spans="1:9" x14ac:dyDescent="0.25">
      <c r="A261" s="146" t="s">
        <v>191</v>
      </c>
      <c r="B261" s="144">
        <v>43066</v>
      </c>
      <c r="C261" s="144">
        <v>43072</v>
      </c>
      <c r="D261" s="145">
        <v>1.7390699999999999</v>
      </c>
      <c r="E261" s="145">
        <v>1.71235</v>
      </c>
      <c r="F261" s="145" t="s">
        <v>192</v>
      </c>
      <c r="G261" s="145">
        <v>1.7434799999999999</v>
      </c>
      <c r="H261" s="145">
        <v>1.76932</v>
      </c>
      <c r="I261" s="145">
        <v>1.75624</v>
      </c>
    </row>
    <row r="262" spans="1:9" x14ac:dyDescent="0.25">
      <c r="A262" s="146" t="s">
        <v>191</v>
      </c>
      <c r="B262" s="144">
        <v>43073</v>
      </c>
      <c r="C262" s="144">
        <v>43079</v>
      </c>
      <c r="D262" s="145">
        <v>1.7711600000000001</v>
      </c>
      <c r="E262" s="145">
        <v>1.7451399999999999</v>
      </c>
      <c r="F262" s="145" t="s">
        <v>192</v>
      </c>
      <c r="G262" s="145">
        <v>1.8087299999999999</v>
      </c>
      <c r="H262" s="145">
        <v>1.8212299999999999</v>
      </c>
      <c r="I262" s="145">
        <v>1.8053999999999999</v>
      </c>
    </row>
    <row r="263" spans="1:9" x14ac:dyDescent="0.25">
      <c r="A263" s="146" t="s">
        <v>191</v>
      </c>
      <c r="B263" s="144">
        <v>43080</v>
      </c>
      <c r="C263" s="144">
        <v>43086</v>
      </c>
      <c r="D263" s="145">
        <v>1.77718</v>
      </c>
      <c r="E263" s="145">
        <v>1.74766</v>
      </c>
      <c r="F263" s="145" t="s">
        <v>192</v>
      </c>
      <c r="G263" s="145">
        <v>1.81335</v>
      </c>
      <c r="H263" s="145">
        <v>1.8243400000000001</v>
      </c>
      <c r="I263" s="145">
        <v>1.8098099999999999</v>
      </c>
    </row>
    <row r="264" spans="1:9" x14ac:dyDescent="0.25">
      <c r="A264" s="146" t="s">
        <v>191</v>
      </c>
      <c r="B264" s="144">
        <v>43087</v>
      </c>
      <c r="C264" s="144">
        <v>43093</v>
      </c>
      <c r="D264" s="145">
        <v>1.7659899999999999</v>
      </c>
      <c r="E264" s="145">
        <v>1.7605</v>
      </c>
      <c r="F264" s="145" t="s">
        <v>192</v>
      </c>
      <c r="G264" s="145">
        <v>1.81131</v>
      </c>
      <c r="H264" s="145">
        <v>1.8269200000000001</v>
      </c>
      <c r="I264" s="145">
        <v>1.8060099999999999</v>
      </c>
    </row>
    <row r="265" spans="1:9" x14ac:dyDescent="0.25">
      <c r="A265" s="146" t="s">
        <v>191</v>
      </c>
      <c r="B265" s="144">
        <v>43094</v>
      </c>
      <c r="C265" s="144">
        <v>43100</v>
      </c>
      <c r="D265" s="145">
        <v>1.75891</v>
      </c>
      <c r="E265" s="145">
        <v>1.8046899999999999</v>
      </c>
      <c r="F265" s="145" t="s">
        <v>192</v>
      </c>
      <c r="G265" s="145">
        <v>1.81446</v>
      </c>
      <c r="H265" s="145">
        <v>1.82348</v>
      </c>
      <c r="I265" s="145">
        <v>1.81864</v>
      </c>
    </row>
    <row r="266" spans="1:9" x14ac:dyDescent="0.25">
      <c r="A266" s="146" t="s">
        <v>191</v>
      </c>
      <c r="B266" s="144">
        <v>43101</v>
      </c>
      <c r="C266" s="144">
        <v>43107</v>
      </c>
      <c r="D266" s="145">
        <v>1.83954</v>
      </c>
      <c r="E266" s="145">
        <v>1.8115600000000001</v>
      </c>
      <c r="F266" s="145" t="s">
        <v>192</v>
      </c>
      <c r="G266" s="145">
        <v>1.8577699999999999</v>
      </c>
      <c r="H266" s="145">
        <v>1.8245</v>
      </c>
      <c r="I266" s="145">
        <v>1.8259000000000001</v>
      </c>
    </row>
    <row r="267" spans="1:9" x14ac:dyDescent="0.25">
      <c r="A267" s="146" t="s">
        <v>191</v>
      </c>
      <c r="B267" s="144">
        <v>43108</v>
      </c>
      <c r="C267" s="144">
        <v>43114</v>
      </c>
      <c r="D267" s="145">
        <v>1.8210500000000001</v>
      </c>
      <c r="E267" s="145">
        <v>1.79064</v>
      </c>
      <c r="F267" s="145" t="s">
        <v>192</v>
      </c>
      <c r="G267" s="145">
        <v>1.851</v>
      </c>
      <c r="H267" s="145">
        <v>1.83758</v>
      </c>
      <c r="I267" s="145">
        <v>1.82928</v>
      </c>
    </row>
    <row r="268" spans="1:9" x14ac:dyDescent="0.25">
      <c r="A268" s="146" t="s">
        <v>191</v>
      </c>
      <c r="B268" s="144">
        <v>43115</v>
      </c>
      <c r="C268" s="144">
        <v>43121</v>
      </c>
      <c r="D268" s="145">
        <v>1.8353200000000001</v>
      </c>
      <c r="E268" s="145">
        <v>1.8221099999999999</v>
      </c>
      <c r="F268" s="145" t="s">
        <v>192</v>
      </c>
      <c r="G268" s="145">
        <v>1.8532999999999999</v>
      </c>
      <c r="H268" s="145">
        <v>1.82975</v>
      </c>
      <c r="I268" s="145">
        <v>1.8302</v>
      </c>
    </row>
    <row r="269" spans="1:9" x14ac:dyDescent="0.25">
      <c r="A269" s="146" t="s">
        <v>191</v>
      </c>
      <c r="B269" s="144">
        <v>43122</v>
      </c>
      <c r="C269" s="144">
        <v>43128</v>
      </c>
      <c r="D269" s="145">
        <v>1.8345100000000001</v>
      </c>
      <c r="E269" s="145">
        <v>1.82514</v>
      </c>
      <c r="F269" s="145" t="s">
        <v>192</v>
      </c>
      <c r="G269" s="145">
        <v>1.86242</v>
      </c>
      <c r="H269" s="145">
        <v>1.8344499999999999</v>
      </c>
      <c r="I269" s="145">
        <v>1.83422</v>
      </c>
    </row>
    <row r="270" spans="1:9" x14ac:dyDescent="0.25">
      <c r="A270" s="146" t="s">
        <v>191</v>
      </c>
      <c r="B270" s="144">
        <v>43129</v>
      </c>
      <c r="C270" s="144">
        <v>43135</v>
      </c>
      <c r="D270" s="145">
        <v>1.85894</v>
      </c>
      <c r="E270" s="145">
        <v>1.8918699999999999</v>
      </c>
      <c r="F270" s="145" t="s">
        <v>192</v>
      </c>
      <c r="G270" s="145">
        <v>1.9054500000000001</v>
      </c>
      <c r="H270" s="145">
        <v>1.8909899999999999</v>
      </c>
      <c r="I270" s="145">
        <v>1.8912599999999999</v>
      </c>
    </row>
    <row r="271" spans="1:9" x14ac:dyDescent="0.25">
      <c r="A271" s="146" t="s">
        <v>191</v>
      </c>
      <c r="B271" s="144">
        <v>43136</v>
      </c>
      <c r="C271" s="144">
        <v>43142</v>
      </c>
      <c r="D271" s="145">
        <v>1.9515</v>
      </c>
      <c r="E271" s="145">
        <v>1.9093500000000001</v>
      </c>
      <c r="F271" s="145" t="s">
        <v>192</v>
      </c>
      <c r="G271" s="145">
        <v>1.97112</v>
      </c>
      <c r="H271" s="145">
        <v>1.94198</v>
      </c>
      <c r="I271" s="145">
        <v>1.9384300000000001</v>
      </c>
    </row>
    <row r="272" spans="1:9" x14ac:dyDescent="0.25">
      <c r="A272" s="146" t="s">
        <v>191</v>
      </c>
      <c r="B272" s="144">
        <v>43143</v>
      </c>
      <c r="C272" s="144">
        <v>43149</v>
      </c>
      <c r="D272" s="145">
        <v>1.9327300000000001</v>
      </c>
      <c r="E272" s="145">
        <v>1.9330700000000001</v>
      </c>
      <c r="F272" s="145" t="s">
        <v>192</v>
      </c>
      <c r="G272" s="145">
        <v>1.9734400000000001</v>
      </c>
      <c r="H272" s="145">
        <v>1.9488700000000001</v>
      </c>
      <c r="I272" s="145">
        <v>1.9461999999999999</v>
      </c>
    </row>
    <row r="273" spans="1:9" x14ac:dyDescent="0.25">
      <c r="A273" s="146" t="s">
        <v>191</v>
      </c>
      <c r="B273" s="144">
        <v>43150</v>
      </c>
      <c r="C273" s="144">
        <v>43156</v>
      </c>
      <c r="D273" s="145">
        <v>1.95261</v>
      </c>
      <c r="E273" s="145">
        <v>1.9235199999999999</v>
      </c>
      <c r="F273" s="145" t="s">
        <v>192</v>
      </c>
      <c r="G273" s="145">
        <v>1.9675</v>
      </c>
      <c r="H273" s="145">
        <v>1.94909</v>
      </c>
      <c r="I273" s="145">
        <v>1.9476500000000001</v>
      </c>
    </row>
    <row r="274" spans="1:9" x14ac:dyDescent="0.25">
      <c r="A274" s="146" t="s">
        <v>191</v>
      </c>
      <c r="B274" s="144">
        <v>43157</v>
      </c>
      <c r="C274" s="144">
        <v>43163</v>
      </c>
      <c r="D274" s="145">
        <v>1.8744000000000001</v>
      </c>
      <c r="E274" s="145">
        <v>1.90012</v>
      </c>
      <c r="F274" s="145" t="s">
        <v>192</v>
      </c>
      <c r="G274" s="145">
        <v>1.94289</v>
      </c>
      <c r="H274" s="145">
        <v>1.89273</v>
      </c>
      <c r="I274" s="145">
        <v>1.8961600000000001</v>
      </c>
    </row>
    <row r="275" spans="1:9" x14ac:dyDescent="0.25">
      <c r="A275" s="146" t="s">
        <v>191</v>
      </c>
      <c r="B275" s="144">
        <v>43164</v>
      </c>
      <c r="C275" s="144">
        <v>43170</v>
      </c>
      <c r="D275" s="145">
        <v>1.8855900000000001</v>
      </c>
      <c r="E275" s="145">
        <v>1.8236000000000001</v>
      </c>
      <c r="F275" s="145" t="s">
        <v>192</v>
      </c>
      <c r="G275" s="145">
        <v>1.90208</v>
      </c>
      <c r="H275" s="145">
        <v>1.8549800000000001</v>
      </c>
      <c r="I275" s="145">
        <v>1.85453</v>
      </c>
    </row>
    <row r="276" spans="1:9" x14ac:dyDescent="0.25">
      <c r="A276" s="146" t="s">
        <v>191</v>
      </c>
      <c r="B276" s="144">
        <v>43171</v>
      </c>
      <c r="C276" s="144">
        <v>43177</v>
      </c>
      <c r="D276" s="145">
        <v>1.89392</v>
      </c>
      <c r="E276" s="145">
        <v>1.8699600000000001</v>
      </c>
      <c r="F276" s="145" t="s">
        <v>192</v>
      </c>
      <c r="G276" s="145">
        <v>1.9049499999999999</v>
      </c>
      <c r="H276" s="145">
        <v>1.8532500000000001</v>
      </c>
      <c r="I276" s="145">
        <v>1.8614200000000001</v>
      </c>
    </row>
    <row r="277" spans="1:9" x14ac:dyDescent="0.25">
      <c r="A277" s="146" t="s">
        <v>191</v>
      </c>
      <c r="B277" s="144">
        <v>43178</v>
      </c>
      <c r="C277" s="144">
        <v>43184</v>
      </c>
      <c r="D277" s="145">
        <v>1.87155</v>
      </c>
      <c r="E277" s="145">
        <v>1.8506</v>
      </c>
      <c r="F277" s="145" t="s">
        <v>192</v>
      </c>
      <c r="G277" s="145">
        <v>1.9062699999999999</v>
      </c>
      <c r="H277" s="145">
        <v>1.8596900000000001</v>
      </c>
      <c r="I277" s="145">
        <v>1.86236</v>
      </c>
    </row>
    <row r="278" spans="1:9" x14ac:dyDescent="0.25">
      <c r="A278" s="146" t="s">
        <v>191</v>
      </c>
      <c r="B278" s="144">
        <v>43185</v>
      </c>
      <c r="C278" s="144">
        <v>43191</v>
      </c>
      <c r="D278" s="145">
        <v>1.89585</v>
      </c>
      <c r="E278" s="145">
        <v>1.85633</v>
      </c>
      <c r="F278" s="145" t="s">
        <v>192</v>
      </c>
      <c r="G278" s="145">
        <v>1.9074899999999999</v>
      </c>
      <c r="H278" s="145">
        <v>1.8533599999999999</v>
      </c>
      <c r="I278" s="145">
        <v>1.8596699999999999</v>
      </c>
    </row>
    <row r="279" spans="1:9" x14ac:dyDescent="0.25">
      <c r="A279" s="146" t="s">
        <v>191</v>
      </c>
      <c r="B279" s="144">
        <v>43192</v>
      </c>
      <c r="C279" s="144">
        <v>43198</v>
      </c>
      <c r="D279" s="145">
        <v>1.8429</v>
      </c>
      <c r="E279" s="145">
        <v>1.82081</v>
      </c>
      <c r="F279" s="145" t="s">
        <v>192</v>
      </c>
      <c r="G279" s="145">
        <v>1.8600399999999999</v>
      </c>
      <c r="H279" s="145">
        <v>1.8332900000000001</v>
      </c>
      <c r="I279" s="145">
        <v>1.8329800000000001</v>
      </c>
    </row>
    <row r="280" spans="1:9" x14ac:dyDescent="0.25">
      <c r="A280" s="146" t="s">
        <v>191</v>
      </c>
      <c r="B280" s="144">
        <v>43199</v>
      </c>
      <c r="C280" s="144">
        <v>43205</v>
      </c>
      <c r="D280" s="145">
        <v>1.8261499999999999</v>
      </c>
      <c r="E280" s="145">
        <v>1.8326100000000001</v>
      </c>
      <c r="F280" s="145" t="s">
        <v>192</v>
      </c>
      <c r="G280" s="145">
        <v>1.86239</v>
      </c>
      <c r="H280" s="145">
        <v>1.8340799999999999</v>
      </c>
      <c r="I280" s="145">
        <v>1.8355999999999999</v>
      </c>
    </row>
    <row r="281" spans="1:9" x14ac:dyDescent="0.25">
      <c r="A281" s="146" t="s">
        <v>191</v>
      </c>
      <c r="B281" s="144">
        <v>43206</v>
      </c>
      <c r="C281" s="144">
        <v>43212</v>
      </c>
      <c r="D281" s="145">
        <v>1.84507</v>
      </c>
      <c r="E281" s="145">
        <v>1.79714</v>
      </c>
      <c r="F281" s="145" t="s">
        <v>192</v>
      </c>
      <c r="G281" s="145">
        <v>1.8609199999999999</v>
      </c>
      <c r="H281" s="145">
        <v>1.8338300000000001</v>
      </c>
      <c r="I281" s="145">
        <v>1.8292999999999999</v>
      </c>
    </row>
    <row r="282" spans="1:9" x14ac:dyDescent="0.25">
      <c r="A282" s="146" t="s">
        <v>191</v>
      </c>
      <c r="B282" s="144">
        <v>43213</v>
      </c>
      <c r="C282" s="144">
        <v>43219</v>
      </c>
      <c r="D282" s="145">
        <v>1.8347199999999999</v>
      </c>
      <c r="E282" s="145">
        <v>1.8519399999999999</v>
      </c>
      <c r="F282" s="145" t="s">
        <v>192</v>
      </c>
      <c r="G282" s="145">
        <v>1.8861699999999999</v>
      </c>
      <c r="H282" s="145">
        <v>1.83691</v>
      </c>
      <c r="I282" s="145">
        <v>1.84259</v>
      </c>
    </row>
    <row r="283" spans="1:9" x14ac:dyDescent="0.25">
      <c r="A283" s="146" t="s">
        <v>191</v>
      </c>
      <c r="B283" s="144">
        <v>43220</v>
      </c>
      <c r="C283" s="144">
        <v>43226</v>
      </c>
      <c r="D283" s="145">
        <v>1.8912500000000001</v>
      </c>
      <c r="E283" s="145">
        <v>1.9869000000000001</v>
      </c>
      <c r="F283" s="145" t="s">
        <v>192</v>
      </c>
      <c r="G283" s="145">
        <v>2.0107699999999999</v>
      </c>
      <c r="H283" s="145">
        <v>1.9924500000000001</v>
      </c>
      <c r="I283" s="145">
        <v>1.9912000000000001</v>
      </c>
    </row>
    <row r="284" spans="1:9" x14ac:dyDescent="0.25">
      <c r="A284" s="146" t="s">
        <v>191</v>
      </c>
      <c r="B284" s="144">
        <v>43227</v>
      </c>
      <c r="C284" s="144">
        <v>43233</v>
      </c>
      <c r="D284" s="145">
        <v>2.01173</v>
      </c>
      <c r="E284" s="145">
        <v>1.9858199999999999</v>
      </c>
      <c r="F284" s="145" t="s">
        <v>192</v>
      </c>
      <c r="G284" s="145">
        <v>2.0308899999999999</v>
      </c>
      <c r="H284" s="145">
        <v>2.0175399999999999</v>
      </c>
      <c r="I284" s="145">
        <v>2.0118399999999999</v>
      </c>
    </row>
    <row r="285" spans="1:9" x14ac:dyDescent="0.25">
      <c r="A285" s="146" t="s">
        <v>191</v>
      </c>
      <c r="B285" s="144">
        <v>43234</v>
      </c>
      <c r="C285" s="144">
        <v>43240</v>
      </c>
      <c r="D285" s="145">
        <v>2.0358399999999999</v>
      </c>
      <c r="E285" s="145">
        <v>2.0226000000000002</v>
      </c>
      <c r="F285" s="145" t="s">
        <v>192</v>
      </c>
      <c r="G285" s="145">
        <v>2.03775</v>
      </c>
      <c r="H285" s="145">
        <v>2.0210599999999999</v>
      </c>
      <c r="I285" s="145">
        <v>2.0229599999999999</v>
      </c>
    </row>
    <row r="286" spans="1:9" x14ac:dyDescent="0.25">
      <c r="A286" s="146" t="s">
        <v>191</v>
      </c>
      <c r="B286" s="144">
        <v>43241</v>
      </c>
      <c r="C286" s="144">
        <v>43247</v>
      </c>
      <c r="D286" s="145">
        <v>2.0228899999999999</v>
      </c>
      <c r="E286" s="145">
        <v>2.0165099999999998</v>
      </c>
      <c r="F286" s="145" t="s">
        <v>192</v>
      </c>
      <c r="G286" s="145">
        <v>2.07809</v>
      </c>
      <c r="H286" s="145">
        <v>2.0112000000000001</v>
      </c>
      <c r="I286" s="145">
        <v>2.0153599999999998</v>
      </c>
    </row>
    <row r="287" spans="1:9" x14ac:dyDescent="0.25">
      <c r="A287" s="146" t="s">
        <v>191</v>
      </c>
      <c r="B287" s="144">
        <v>43248</v>
      </c>
      <c r="C287" s="144">
        <v>43254</v>
      </c>
      <c r="D287" s="145">
        <v>2.0333199999999998</v>
      </c>
      <c r="E287" s="145">
        <v>2.0373000000000001</v>
      </c>
      <c r="F287" s="145" t="s">
        <v>192</v>
      </c>
      <c r="G287" s="145">
        <v>2.1069300000000002</v>
      </c>
      <c r="H287" s="145">
        <v>2.1250900000000001</v>
      </c>
      <c r="I287" s="145">
        <v>2.1049000000000002</v>
      </c>
    </row>
    <row r="288" spans="1:9" x14ac:dyDescent="0.25">
      <c r="A288" s="146" t="s">
        <v>191</v>
      </c>
      <c r="B288" s="144">
        <v>43255</v>
      </c>
      <c r="C288" s="144">
        <v>43261</v>
      </c>
      <c r="D288" s="145">
        <v>2.2803100000000001</v>
      </c>
      <c r="E288" s="145">
        <v>2.2796400000000001</v>
      </c>
      <c r="F288" s="145" t="s">
        <v>192</v>
      </c>
      <c r="G288" s="145">
        <v>2.2820900000000002</v>
      </c>
      <c r="H288" s="145">
        <v>2.2717100000000001</v>
      </c>
      <c r="I288" s="145">
        <v>2.2737400000000001</v>
      </c>
    </row>
    <row r="289" spans="1:9" x14ac:dyDescent="0.25">
      <c r="A289" s="146" t="s">
        <v>191</v>
      </c>
      <c r="B289" s="144">
        <v>43262</v>
      </c>
      <c r="C289" s="144">
        <v>43268</v>
      </c>
      <c r="D289" s="145">
        <v>2.2882600000000002</v>
      </c>
      <c r="E289" s="145">
        <v>2.2669000000000001</v>
      </c>
      <c r="F289" s="145" t="s">
        <v>192</v>
      </c>
      <c r="G289" s="145">
        <v>2.29718</v>
      </c>
      <c r="H289" s="145">
        <v>2.2773300000000001</v>
      </c>
      <c r="I289" s="145">
        <v>2.27807</v>
      </c>
    </row>
    <row r="290" spans="1:9" x14ac:dyDescent="0.25">
      <c r="A290" s="146" t="s">
        <v>191</v>
      </c>
      <c r="B290" s="144">
        <v>43269</v>
      </c>
      <c r="C290" s="144">
        <v>43275</v>
      </c>
      <c r="D290" s="145">
        <v>2.2738200000000002</v>
      </c>
      <c r="E290" s="145">
        <v>2.2465600000000001</v>
      </c>
      <c r="F290" s="145" t="s">
        <v>192</v>
      </c>
      <c r="G290" s="145">
        <v>2.3225899999999999</v>
      </c>
      <c r="H290" s="145">
        <v>2.27691</v>
      </c>
      <c r="I290" s="145">
        <v>2.27278</v>
      </c>
    </row>
    <row r="291" spans="1:9" x14ac:dyDescent="0.25">
      <c r="A291" s="146" t="s">
        <v>191</v>
      </c>
      <c r="B291" s="144">
        <v>43276</v>
      </c>
      <c r="C291" s="144">
        <v>43282</v>
      </c>
      <c r="D291" s="145">
        <v>2.2999499999999999</v>
      </c>
      <c r="E291" s="145">
        <v>2.2762099999999998</v>
      </c>
      <c r="F291" s="145" t="s">
        <v>192</v>
      </c>
      <c r="G291" s="145">
        <v>2.3384399999999999</v>
      </c>
      <c r="H291" s="145">
        <v>2.2840400000000001</v>
      </c>
      <c r="I291" s="145">
        <v>2.2883900000000001</v>
      </c>
    </row>
    <row r="292" spans="1:9" x14ac:dyDescent="0.25">
      <c r="A292" s="146" t="s">
        <v>191</v>
      </c>
      <c r="B292" s="144">
        <v>43283</v>
      </c>
      <c r="C292" s="144">
        <v>43289</v>
      </c>
      <c r="D292" s="145">
        <v>2.3474699999999999</v>
      </c>
      <c r="E292" s="145">
        <v>2.3141600000000002</v>
      </c>
      <c r="F292" s="145" t="s">
        <v>192</v>
      </c>
      <c r="G292" s="145">
        <v>2.3679299999999999</v>
      </c>
      <c r="H292" s="145">
        <v>2.3407800000000001</v>
      </c>
      <c r="I292" s="145">
        <v>2.3403999999999998</v>
      </c>
    </row>
    <row r="293" spans="1:9" x14ac:dyDescent="0.25">
      <c r="A293" s="146" t="s">
        <v>191</v>
      </c>
      <c r="B293" s="144">
        <v>43290</v>
      </c>
      <c r="C293" s="144">
        <v>43296</v>
      </c>
      <c r="D293" s="145">
        <v>2.3348</v>
      </c>
      <c r="E293" s="145">
        <v>2.3177400000000001</v>
      </c>
      <c r="F293" s="145" t="s">
        <v>192</v>
      </c>
      <c r="G293" s="145">
        <v>2.3754499999999998</v>
      </c>
      <c r="H293" s="145">
        <v>2.3416600000000001</v>
      </c>
      <c r="I293" s="145">
        <v>2.3385500000000001</v>
      </c>
    </row>
    <row r="294" spans="1:9" x14ac:dyDescent="0.25">
      <c r="A294" s="146" t="s">
        <v>191</v>
      </c>
      <c r="B294" s="144">
        <v>43297</v>
      </c>
      <c r="C294" s="144">
        <v>43303</v>
      </c>
      <c r="D294" s="145">
        <v>2.3249499999999999</v>
      </c>
      <c r="E294" s="145">
        <v>2.3141600000000002</v>
      </c>
      <c r="F294" s="145" t="s">
        <v>192</v>
      </c>
      <c r="G294" s="145">
        <v>2.3806600000000002</v>
      </c>
      <c r="H294" s="145">
        <v>2.3439700000000001</v>
      </c>
      <c r="I294" s="145">
        <v>2.3397199999999998</v>
      </c>
    </row>
    <row r="295" spans="1:9" x14ac:dyDescent="0.25">
      <c r="A295" s="146" t="s">
        <v>191</v>
      </c>
      <c r="B295" s="144">
        <v>43304</v>
      </c>
      <c r="C295" s="144">
        <v>43310</v>
      </c>
      <c r="D295" s="145">
        <v>2.3319800000000002</v>
      </c>
      <c r="E295" s="145">
        <v>2.30871</v>
      </c>
      <c r="F295" s="145" t="s">
        <v>192</v>
      </c>
      <c r="G295" s="145">
        <v>2.3752</v>
      </c>
      <c r="H295" s="145">
        <v>2.3441700000000001</v>
      </c>
      <c r="I295" s="145">
        <v>2.3404199999999999</v>
      </c>
    </row>
    <row r="296" spans="1:9" x14ac:dyDescent="0.25">
      <c r="A296" s="146" t="s">
        <v>191</v>
      </c>
      <c r="B296" s="144">
        <v>43311</v>
      </c>
      <c r="C296" s="144">
        <v>43317</v>
      </c>
      <c r="D296" s="145">
        <v>2.3831000000000002</v>
      </c>
      <c r="E296" s="145">
        <v>2.3442599999999998</v>
      </c>
      <c r="F296" s="145" t="s">
        <v>192</v>
      </c>
      <c r="G296" s="145">
        <v>2.4136600000000001</v>
      </c>
      <c r="H296" s="145">
        <v>2.3824700000000001</v>
      </c>
      <c r="I296" s="145">
        <v>2.3767800000000001</v>
      </c>
    </row>
    <row r="297" spans="1:9" x14ac:dyDescent="0.25">
      <c r="A297" s="146" t="s">
        <v>191</v>
      </c>
      <c r="B297" s="144">
        <v>43318</v>
      </c>
      <c r="C297" s="144">
        <v>43324</v>
      </c>
      <c r="D297" s="145">
        <v>2.3783099999999999</v>
      </c>
      <c r="E297" s="145">
        <v>2.3943300000000001</v>
      </c>
      <c r="F297" s="145" t="s">
        <v>192</v>
      </c>
      <c r="G297" s="145">
        <v>2.42605</v>
      </c>
      <c r="H297" s="145">
        <v>2.39541</v>
      </c>
      <c r="I297" s="145">
        <v>2.3947699999999998</v>
      </c>
    </row>
    <row r="298" spans="1:9" x14ac:dyDescent="0.25">
      <c r="A298" s="146" t="s">
        <v>191</v>
      </c>
      <c r="B298" s="144">
        <v>43325</v>
      </c>
      <c r="C298" s="144">
        <v>43331</v>
      </c>
      <c r="D298" s="145">
        <v>2.3896500000000001</v>
      </c>
      <c r="E298" s="145">
        <v>2.3719000000000001</v>
      </c>
      <c r="F298" s="145" t="s">
        <v>192</v>
      </c>
      <c r="G298" s="145">
        <v>2.43337</v>
      </c>
      <c r="H298" s="145">
        <v>2.39696</v>
      </c>
      <c r="I298" s="145">
        <v>2.3936899999999999</v>
      </c>
    </row>
    <row r="299" spans="1:9" x14ac:dyDescent="0.25">
      <c r="A299" s="146" t="s">
        <v>191</v>
      </c>
      <c r="B299" s="144">
        <v>43332</v>
      </c>
      <c r="C299" s="144">
        <v>43338</v>
      </c>
      <c r="D299" s="145">
        <v>2.4004500000000002</v>
      </c>
      <c r="E299" s="145">
        <v>2.3976000000000002</v>
      </c>
      <c r="F299" s="145" t="s">
        <v>192</v>
      </c>
      <c r="G299" s="145">
        <v>2.4362200000000001</v>
      </c>
      <c r="H299" s="145">
        <v>2.3956599999999999</v>
      </c>
      <c r="I299" s="145">
        <v>2.3995099999999998</v>
      </c>
    </row>
    <row r="300" spans="1:9" x14ac:dyDescent="0.25">
      <c r="A300" s="146" t="s">
        <v>191</v>
      </c>
      <c r="B300" s="144">
        <v>43339</v>
      </c>
      <c r="C300" s="144">
        <v>43345</v>
      </c>
      <c r="D300" s="145">
        <v>2.3930699999999998</v>
      </c>
      <c r="E300" s="145">
        <v>2.3900700000000001</v>
      </c>
      <c r="F300" s="145" t="s">
        <v>192</v>
      </c>
      <c r="G300" s="145">
        <v>2.4411700000000001</v>
      </c>
      <c r="H300" s="145">
        <v>2.3953500000000001</v>
      </c>
      <c r="I300" s="145">
        <v>2.3976000000000002</v>
      </c>
    </row>
    <row r="301" spans="1:9" x14ac:dyDescent="0.25">
      <c r="A301" s="146" t="s">
        <v>191</v>
      </c>
      <c r="B301" s="144">
        <v>43346</v>
      </c>
      <c r="C301" s="144">
        <v>43352</v>
      </c>
      <c r="D301" s="145">
        <v>2.3679100000000002</v>
      </c>
      <c r="E301" s="145">
        <v>2.3392300000000001</v>
      </c>
      <c r="F301" s="145" t="s">
        <v>192</v>
      </c>
      <c r="G301" s="145">
        <v>2.4163600000000001</v>
      </c>
      <c r="H301" s="145">
        <v>2.3874</v>
      </c>
      <c r="I301" s="145">
        <v>2.3804699999999999</v>
      </c>
    </row>
    <row r="302" spans="1:9" x14ac:dyDescent="0.25">
      <c r="A302" s="146" t="s">
        <v>191</v>
      </c>
      <c r="B302" s="144">
        <v>43353</v>
      </c>
      <c r="C302" s="144">
        <v>43359</v>
      </c>
      <c r="D302" s="145">
        <v>2.3801800000000002</v>
      </c>
      <c r="E302" s="145">
        <v>2.35703</v>
      </c>
      <c r="F302" s="145" t="s">
        <v>192</v>
      </c>
      <c r="G302" s="145">
        <v>2.4297900000000001</v>
      </c>
      <c r="H302" s="145">
        <v>2.3906000000000001</v>
      </c>
      <c r="I302" s="145">
        <v>2.3854299999999999</v>
      </c>
    </row>
    <row r="303" spans="1:9" x14ac:dyDescent="0.25">
      <c r="A303" s="146" t="s">
        <v>191</v>
      </c>
      <c r="B303" s="144">
        <v>43360</v>
      </c>
      <c r="C303" s="144">
        <v>43366</v>
      </c>
      <c r="D303" s="145">
        <v>2.36829</v>
      </c>
      <c r="E303" s="145">
        <v>2.4035000000000002</v>
      </c>
      <c r="F303" s="145" t="s">
        <v>192</v>
      </c>
      <c r="G303" s="145">
        <v>2.4260999999999999</v>
      </c>
      <c r="H303" s="145">
        <v>2.3875299999999999</v>
      </c>
      <c r="I303" s="145">
        <v>2.3908700000000001</v>
      </c>
    </row>
    <row r="304" spans="1:9" x14ac:dyDescent="0.25">
      <c r="A304" s="146" t="s">
        <v>191</v>
      </c>
      <c r="B304" s="144">
        <v>43367</v>
      </c>
      <c r="C304" s="144">
        <v>43373</v>
      </c>
      <c r="D304" s="145">
        <v>2.3871500000000001</v>
      </c>
      <c r="E304" s="145">
        <v>2.3577699999999999</v>
      </c>
      <c r="F304" s="145" t="s">
        <v>192</v>
      </c>
      <c r="G304" s="145">
        <v>2.42693</v>
      </c>
      <c r="H304" s="145">
        <v>2.3900800000000002</v>
      </c>
      <c r="I304" s="145">
        <v>2.3874399999999998</v>
      </c>
    </row>
    <row r="305" spans="1:9" x14ac:dyDescent="0.25">
      <c r="A305" s="146" t="s">
        <v>191</v>
      </c>
      <c r="B305" s="144">
        <v>43374</v>
      </c>
      <c r="C305" s="144">
        <v>43380</v>
      </c>
      <c r="D305" s="145">
        <v>2.6475599999999999</v>
      </c>
      <c r="E305" s="145">
        <v>2.6372</v>
      </c>
      <c r="F305" s="145" t="s">
        <v>192</v>
      </c>
      <c r="G305" s="145">
        <v>2.69198</v>
      </c>
      <c r="H305" s="145">
        <v>2.64683</v>
      </c>
      <c r="I305" s="145">
        <v>2.6485300000000001</v>
      </c>
    </row>
    <row r="306" spans="1:9" x14ac:dyDescent="0.25">
      <c r="A306" s="146" t="s">
        <v>191</v>
      </c>
      <c r="B306" s="144">
        <v>43381</v>
      </c>
      <c r="C306" s="144">
        <v>43387</v>
      </c>
      <c r="D306" s="145">
        <v>2.6270199999999999</v>
      </c>
      <c r="E306" s="145">
        <v>2.6062099999999999</v>
      </c>
      <c r="F306" s="145" t="s">
        <v>192</v>
      </c>
      <c r="G306" s="145">
        <v>2.70058</v>
      </c>
      <c r="H306" s="145">
        <v>2.6511100000000001</v>
      </c>
      <c r="I306" s="145">
        <v>2.6434500000000001</v>
      </c>
    </row>
    <row r="307" spans="1:9" x14ac:dyDescent="0.25">
      <c r="A307" s="146" t="s">
        <v>191</v>
      </c>
      <c r="B307" s="144">
        <v>43388</v>
      </c>
      <c r="C307" s="144">
        <v>43394</v>
      </c>
      <c r="D307" s="145">
        <v>2.6348799999999999</v>
      </c>
      <c r="E307" s="145">
        <v>2.64656</v>
      </c>
      <c r="F307" s="145" t="s">
        <v>192</v>
      </c>
      <c r="G307" s="145">
        <v>2.6930499999999999</v>
      </c>
      <c r="H307" s="145">
        <v>2.6513100000000001</v>
      </c>
      <c r="I307" s="145">
        <v>2.6530300000000002</v>
      </c>
    </row>
    <row r="308" spans="1:9" x14ac:dyDescent="0.25">
      <c r="A308" s="146" t="s">
        <v>191</v>
      </c>
      <c r="B308" s="144">
        <v>43395</v>
      </c>
      <c r="C308" s="144">
        <v>43401</v>
      </c>
      <c r="D308" s="145">
        <v>2.6476899999999999</v>
      </c>
      <c r="E308" s="145">
        <v>2.65232</v>
      </c>
      <c r="F308" s="145" t="s">
        <v>192</v>
      </c>
      <c r="G308" s="145">
        <v>2.69712</v>
      </c>
      <c r="H308" s="145">
        <v>2.6535199999999999</v>
      </c>
      <c r="I308" s="145">
        <v>2.6564100000000002</v>
      </c>
    </row>
    <row r="309" spans="1:9" x14ac:dyDescent="0.25">
      <c r="A309" s="146" t="s">
        <v>191</v>
      </c>
      <c r="B309" s="144">
        <v>43402</v>
      </c>
      <c r="C309" s="144">
        <v>43408</v>
      </c>
      <c r="D309" s="145">
        <v>2.6057100000000002</v>
      </c>
      <c r="E309" s="145">
        <v>2.5951599999999999</v>
      </c>
      <c r="F309" s="145" t="s">
        <v>192</v>
      </c>
      <c r="G309" s="145">
        <v>2.6477200000000001</v>
      </c>
      <c r="H309" s="145">
        <v>2.6101000000000001</v>
      </c>
      <c r="I309" s="145">
        <v>2.6097100000000002</v>
      </c>
    </row>
    <row r="310" spans="1:9" x14ac:dyDescent="0.25">
      <c r="A310" s="146" t="s">
        <v>191</v>
      </c>
      <c r="B310" s="144">
        <v>43409</v>
      </c>
      <c r="C310" s="144">
        <v>43415</v>
      </c>
      <c r="D310" s="145">
        <v>2.5729500000000001</v>
      </c>
      <c r="E310" s="145">
        <v>2.56033</v>
      </c>
      <c r="F310" s="145" t="s">
        <v>192</v>
      </c>
      <c r="G310" s="145">
        <v>2.61741</v>
      </c>
      <c r="H310" s="145">
        <v>2.5682200000000002</v>
      </c>
      <c r="I310" s="145">
        <v>2.57077</v>
      </c>
    </row>
    <row r="311" spans="1:9" x14ac:dyDescent="0.25">
      <c r="A311" s="146" t="s">
        <v>191</v>
      </c>
      <c r="B311" s="144">
        <v>43416</v>
      </c>
      <c r="C311" s="144">
        <v>43422</v>
      </c>
      <c r="D311" s="145">
        <v>2.5698400000000001</v>
      </c>
      <c r="E311" s="145">
        <v>2.5314100000000002</v>
      </c>
      <c r="F311" s="145" t="s">
        <v>192</v>
      </c>
      <c r="G311" s="145">
        <v>2.6234199999999999</v>
      </c>
      <c r="H311" s="145">
        <v>2.5745399999999998</v>
      </c>
      <c r="I311" s="145">
        <v>2.5664199999999999</v>
      </c>
    </row>
    <row r="312" spans="1:9" x14ac:dyDescent="0.25">
      <c r="A312" s="146" t="s">
        <v>191</v>
      </c>
      <c r="B312" s="144">
        <v>43423</v>
      </c>
      <c r="C312" s="144">
        <v>43429</v>
      </c>
      <c r="D312" s="145">
        <v>2.5528200000000001</v>
      </c>
      <c r="E312" s="145">
        <v>2.55863</v>
      </c>
      <c r="F312" s="145" t="s">
        <v>192</v>
      </c>
      <c r="G312" s="145">
        <v>2.6233300000000002</v>
      </c>
      <c r="H312" s="145">
        <v>2.5805199999999999</v>
      </c>
      <c r="I312" s="145">
        <v>2.5795499999999998</v>
      </c>
    </row>
    <row r="313" spans="1:9" x14ac:dyDescent="0.25">
      <c r="A313" s="146" t="s">
        <v>191</v>
      </c>
      <c r="B313" s="144">
        <v>43430</v>
      </c>
      <c r="C313" s="144">
        <v>43436</v>
      </c>
      <c r="D313" s="145">
        <v>2.4525700000000001</v>
      </c>
      <c r="E313" s="145">
        <v>2.5380500000000001</v>
      </c>
      <c r="F313" s="145" t="s">
        <v>192</v>
      </c>
      <c r="G313" s="145">
        <v>2.56169</v>
      </c>
      <c r="H313" s="145">
        <v>2.5177800000000001</v>
      </c>
      <c r="I313" s="145">
        <v>2.5231499999999998</v>
      </c>
    </row>
    <row r="314" spans="1:9" x14ac:dyDescent="0.25">
      <c r="A314" s="146" t="s">
        <v>191</v>
      </c>
      <c r="B314" s="144">
        <v>43437</v>
      </c>
      <c r="C314" s="144">
        <v>43443</v>
      </c>
      <c r="D314" s="145">
        <v>2.3000600000000002</v>
      </c>
      <c r="E314" s="145">
        <v>2.3182</v>
      </c>
      <c r="F314" s="145" t="s">
        <v>192</v>
      </c>
      <c r="G314" s="145">
        <v>2.3718699999999999</v>
      </c>
      <c r="H314" s="145">
        <v>2.3311999999999999</v>
      </c>
      <c r="I314" s="145">
        <v>2.3309899999999999</v>
      </c>
    </row>
    <row r="315" spans="1:9" x14ac:dyDescent="0.25">
      <c r="A315" s="146" t="s">
        <v>191</v>
      </c>
      <c r="B315" s="144">
        <v>43444</v>
      </c>
      <c r="C315" s="144">
        <v>43450</v>
      </c>
      <c r="D315" s="145">
        <v>2.32558</v>
      </c>
      <c r="E315" s="145">
        <v>2.3079100000000001</v>
      </c>
      <c r="F315" s="145" t="s">
        <v>192</v>
      </c>
      <c r="G315" s="145">
        <v>2.3679100000000002</v>
      </c>
      <c r="H315" s="145">
        <v>2.3351099999999998</v>
      </c>
      <c r="I315" s="145">
        <v>2.33365</v>
      </c>
    </row>
    <row r="316" spans="1:9" x14ac:dyDescent="0.25">
      <c r="A316" s="146" t="s">
        <v>191</v>
      </c>
      <c r="B316" s="144">
        <v>43451</v>
      </c>
      <c r="C316" s="144">
        <v>43457</v>
      </c>
      <c r="D316" s="145">
        <v>2.3176600000000001</v>
      </c>
      <c r="E316" s="145">
        <v>2.2930299999999999</v>
      </c>
      <c r="F316" s="145" t="s">
        <v>192</v>
      </c>
      <c r="G316" s="145">
        <v>2.3815300000000001</v>
      </c>
      <c r="H316" s="145">
        <v>2.33202</v>
      </c>
      <c r="I316" s="145">
        <v>2.32531</v>
      </c>
    </row>
    <row r="317" spans="1:9" x14ac:dyDescent="0.25">
      <c r="A317" s="146" t="s">
        <v>191</v>
      </c>
      <c r="B317" s="144">
        <v>43458</v>
      </c>
      <c r="C317" s="144">
        <v>43464</v>
      </c>
      <c r="D317" s="145">
        <v>2.32877</v>
      </c>
      <c r="E317" s="145">
        <v>2.3080500000000002</v>
      </c>
      <c r="F317" s="145" t="s">
        <v>192</v>
      </c>
      <c r="G317" s="145">
        <v>2.38076</v>
      </c>
      <c r="H317" s="145">
        <v>2.3372899999999999</v>
      </c>
      <c r="I317" s="145">
        <v>2.33514</v>
      </c>
    </row>
    <row r="318" spans="1:9" x14ac:dyDescent="0.25">
      <c r="A318" s="146" t="s">
        <v>191</v>
      </c>
      <c r="B318" s="144">
        <v>43465</v>
      </c>
      <c r="C318" s="144">
        <v>43471</v>
      </c>
      <c r="D318" s="145">
        <v>2.05986</v>
      </c>
      <c r="E318" s="145">
        <v>2.16812</v>
      </c>
      <c r="F318" s="145" t="s">
        <v>192</v>
      </c>
      <c r="G318" s="145">
        <v>2.1697000000000002</v>
      </c>
      <c r="H318" s="145">
        <v>2.12066</v>
      </c>
      <c r="I318" s="145">
        <v>2.1246999999999998</v>
      </c>
    </row>
    <row r="319" spans="1:9" x14ac:dyDescent="0.25">
      <c r="A319" s="146" t="s">
        <v>191</v>
      </c>
      <c r="B319" s="144">
        <v>43472</v>
      </c>
      <c r="C319" s="144">
        <v>43478</v>
      </c>
      <c r="D319" s="145">
        <v>2.0825900000000002</v>
      </c>
      <c r="E319" s="145">
        <v>2.0508299999999999</v>
      </c>
      <c r="F319" s="145" t="s">
        <v>192</v>
      </c>
      <c r="G319" s="145">
        <v>2.1374499999999999</v>
      </c>
      <c r="H319" s="145">
        <v>2.0960899999999998</v>
      </c>
      <c r="I319" s="145">
        <v>2.0865499999999999</v>
      </c>
    </row>
    <row r="320" spans="1:9" x14ac:dyDescent="0.25">
      <c r="A320" s="146" t="s">
        <v>191</v>
      </c>
      <c r="B320" s="144">
        <v>43479</v>
      </c>
      <c r="C320" s="144">
        <v>43485</v>
      </c>
      <c r="D320" s="145">
        <v>2.0687199999999999</v>
      </c>
      <c r="E320" s="145">
        <v>2.0587800000000001</v>
      </c>
      <c r="F320" s="145" t="s">
        <v>192</v>
      </c>
      <c r="G320" s="145">
        <v>2.1391499999999999</v>
      </c>
      <c r="H320" s="145">
        <v>2.09762</v>
      </c>
      <c r="I320" s="145">
        <v>2.09375</v>
      </c>
    </row>
    <row r="321" spans="1:9" x14ac:dyDescent="0.25">
      <c r="A321" s="146" t="s">
        <v>191</v>
      </c>
      <c r="B321" s="144">
        <v>43486</v>
      </c>
      <c r="C321" s="144">
        <v>43492</v>
      </c>
      <c r="D321" s="145">
        <v>2.0870799999999998</v>
      </c>
      <c r="E321" s="145">
        <v>2.0766499999999999</v>
      </c>
      <c r="F321" s="145" t="s">
        <v>192</v>
      </c>
      <c r="G321" s="145">
        <v>2.1478899999999999</v>
      </c>
      <c r="H321" s="145">
        <v>2.10012</v>
      </c>
      <c r="I321" s="145">
        <v>2.1005199999999999</v>
      </c>
    </row>
    <row r="322" spans="1:9" x14ac:dyDescent="0.25">
      <c r="A322" s="146" t="s">
        <v>191</v>
      </c>
      <c r="B322" s="144">
        <v>43493</v>
      </c>
      <c r="C322" s="144">
        <v>43499</v>
      </c>
      <c r="D322" s="145">
        <v>2.02772</v>
      </c>
      <c r="E322" s="145">
        <v>2.0400499999999999</v>
      </c>
      <c r="F322" s="145" t="s">
        <v>192</v>
      </c>
      <c r="G322" s="145">
        <v>2.1172</v>
      </c>
      <c r="H322" s="145">
        <v>2.0758999999999999</v>
      </c>
      <c r="I322" s="145">
        <v>2.0692300000000001</v>
      </c>
    </row>
    <row r="323" spans="1:9" x14ac:dyDescent="0.25">
      <c r="A323" s="146" t="s">
        <v>191</v>
      </c>
      <c r="B323" s="144">
        <v>43500</v>
      </c>
      <c r="C323" s="144">
        <v>43506</v>
      </c>
      <c r="D323" s="145">
        <v>1.9986200000000001</v>
      </c>
      <c r="E323" s="145">
        <v>2.0064500000000001</v>
      </c>
      <c r="F323" s="145" t="s">
        <v>192</v>
      </c>
      <c r="G323" s="145">
        <v>2.0682299999999998</v>
      </c>
      <c r="H323" s="145">
        <v>2.0279199999999999</v>
      </c>
      <c r="I323" s="145">
        <v>2.0270700000000001</v>
      </c>
    </row>
    <row r="324" spans="1:9" x14ac:dyDescent="0.25">
      <c r="A324" s="146" t="s">
        <v>191</v>
      </c>
      <c r="B324" s="144">
        <v>43507</v>
      </c>
      <c r="C324" s="144">
        <v>43513</v>
      </c>
      <c r="D324" s="145">
        <v>1.99685</v>
      </c>
      <c r="E324" s="145">
        <v>1.9778</v>
      </c>
      <c r="F324" s="145" t="s">
        <v>192</v>
      </c>
      <c r="G324" s="145">
        <v>2.0739399999999999</v>
      </c>
      <c r="H324" s="145">
        <v>2.0304099999999998</v>
      </c>
      <c r="I324" s="145">
        <v>2.0226700000000002</v>
      </c>
    </row>
    <row r="325" spans="1:9" x14ac:dyDescent="0.25">
      <c r="A325" s="146" t="s">
        <v>191</v>
      </c>
      <c r="B325" s="144">
        <v>43514</v>
      </c>
      <c r="C325" s="144">
        <v>43520</v>
      </c>
      <c r="D325" s="145">
        <v>2.0183900000000001</v>
      </c>
      <c r="E325" s="145">
        <v>1.9904500000000001</v>
      </c>
      <c r="F325" s="145" t="s">
        <v>192</v>
      </c>
      <c r="G325" s="145">
        <v>2.0743100000000001</v>
      </c>
      <c r="H325" s="145">
        <v>2.0306899999999999</v>
      </c>
      <c r="I325" s="145">
        <v>2.0253999999999999</v>
      </c>
    </row>
    <row r="326" spans="1:9" x14ac:dyDescent="0.25">
      <c r="A326" s="146" t="s">
        <v>191</v>
      </c>
      <c r="B326" s="144">
        <v>43521</v>
      </c>
      <c r="C326" s="144">
        <v>43527</v>
      </c>
      <c r="D326" s="145">
        <v>2.02691</v>
      </c>
      <c r="E326" s="145">
        <v>2.0519599999999998</v>
      </c>
      <c r="F326" s="145" t="s">
        <v>192</v>
      </c>
      <c r="G326" s="145">
        <v>2.0972499999999998</v>
      </c>
      <c r="H326" s="145">
        <v>2.0760399999999999</v>
      </c>
      <c r="I326" s="145">
        <v>2.0722900000000002</v>
      </c>
    </row>
    <row r="327" spans="1:9" x14ac:dyDescent="0.25">
      <c r="A327" s="146" t="s">
        <v>191</v>
      </c>
      <c r="B327" s="144">
        <v>43528</v>
      </c>
      <c r="C327" s="144">
        <v>43534</v>
      </c>
      <c r="D327" s="145">
        <v>2.1073499999999998</v>
      </c>
      <c r="E327" s="145">
        <v>2.0680000000000001</v>
      </c>
      <c r="F327" s="145" t="s">
        <v>192</v>
      </c>
      <c r="G327" s="145">
        <v>2.1566200000000002</v>
      </c>
      <c r="H327" s="145">
        <v>2.1196999999999999</v>
      </c>
      <c r="I327" s="145">
        <v>2.10798</v>
      </c>
    </row>
    <row r="328" spans="1:9" x14ac:dyDescent="0.25">
      <c r="A328" s="146" t="s">
        <v>191</v>
      </c>
      <c r="B328" s="144">
        <v>43535</v>
      </c>
      <c r="C328" s="144">
        <v>43541</v>
      </c>
      <c r="D328" s="145">
        <v>2.08047</v>
      </c>
      <c r="E328" s="145">
        <v>2.0743399999999999</v>
      </c>
      <c r="F328" s="145" t="s">
        <v>192</v>
      </c>
      <c r="G328" s="145">
        <v>2.1650900000000002</v>
      </c>
      <c r="H328" s="145">
        <v>2.1200899999999998</v>
      </c>
      <c r="I328" s="145">
        <v>2.1198999999999999</v>
      </c>
    </row>
    <row r="329" spans="1:9" x14ac:dyDescent="0.25">
      <c r="A329" s="146" t="s">
        <v>191</v>
      </c>
      <c r="B329" s="144">
        <v>43542</v>
      </c>
      <c r="C329" s="144">
        <v>43548</v>
      </c>
      <c r="D329" s="145">
        <v>2.11239</v>
      </c>
      <c r="E329" s="145">
        <v>2.1011600000000001</v>
      </c>
      <c r="F329" s="145" t="s">
        <v>192</v>
      </c>
      <c r="G329" s="145">
        <v>2.16378</v>
      </c>
      <c r="H329" s="145">
        <v>2.12209</v>
      </c>
      <c r="I329" s="145">
        <v>2.1223800000000002</v>
      </c>
    </row>
    <row r="330" spans="1:9" x14ac:dyDescent="0.25">
      <c r="A330" s="146" t="s">
        <v>191</v>
      </c>
      <c r="B330" s="144">
        <v>43549</v>
      </c>
      <c r="C330" s="144">
        <v>43555</v>
      </c>
      <c r="D330" s="145">
        <v>2.1019600000000001</v>
      </c>
      <c r="E330" s="145">
        <v>2.0705800000000001</v>
      </c>
      <c r="F330" s="145" t="s">
        <v>192</v>
      </c>
      <c r="G330" s="145">
        <v>2.1661100000000002</v>
      </c>
      <c r="H330" s="145">
        <v>2.12602</v>
      </c>
      <c r="I330" s="145">
        <v>2.1164399999999999</v>
      </c>
    </row>
    <row r="331" spans="1:9" x14ac:dyDescent="0.25">
      <c r="A331" s="146" t="s">
        <v>191</v>
      </c>
      <c r="B331" s="144">
        <v>43556</v>
      </c>
      <c r="C331" s="144">
        <v>43562</v>
      </c>
      <c r="D331" s="145">
        <v>2.1724399999999999</v>
      </c>
      <c r="E331" s="145">
        <v>2.1792899999999999</v>
      </c>
      <c r="F331" s="145" t="s">
        <v>192</v>
      </c>
      <c r="G331" s="145">
        <v>2.2413799999999999</v>
      </c>
      <c r="H331" s="145">
        <v>2.2070599999999998</v>
      </c>
      <c r="I331" s="145">
        <v>2.2032500000000002</v>
      </c>
    </row>
    <row r="332" spans="1:9" x14ac:dyDescent="0.25">
      <c r="A332" s="146" t="s">
        <v>191</v>
      </c>
      <c r="B332" s="144">
        <v>43563</v>
      </c>
      <c r="C332" s="144">
        <v>43569</v>
      </c>
      <c r="D332" s="145">
        <v>2.1758999999999999</v>
      </c>
      <c r="E332" s="145">
        <v>2.1342099999999999</v>
      </c>
      <c r="F332" s="145" t="s">
        <v>192</v>
      </c>
      <c r="G332" s="145">
        <v>2.2498900000000002</v>
      </c>
      <c r="H332" s="145">
        <v>2.20804</v>
      </c>
      <c r="I332" s="145">
        <v>2.1965300000000001</v>
      </c>
    </row>
    <row r="333" spans="1:9" x14ac:dyDescent="0.25">
      <c r="A333" s="146" t="s">
        <v>191</v>
      </c>
      <c r="B333" s="144">
        <v>43570</v>
      </c>
      <c r="C333" s="144">
        <v>43576</v>
      </c>
      <c r="D333" s="145">
        <v>2.1864400000000002</v>
      </c>
      <c r="E333" s="145">
        <v>2.1492200000000001</v>
      </c>
      <c r="F333" s="145" t="s">
        <v>192</v>
      </c>
      <c r="G333" s="145">
        <v>2.2487900000000001</v>
      </c>
      <c r="H333" s="145">
        <v>2.2112799999999999</v>
      </c>
      <c r="I333" s="145">
        <v>2.2062900000000001</v>
      </c>
    </row>
    <row r="334" spans="1:9" x14ac:dyDescent="0.25">
      <c r="A334" s="146" t="s">
        <v>191</v>
      </c>
      <c r="B334" s="144">
        <v>43577</v>
      </c>
      <c r="C334" s="144">
        <v>43583</v>
      </c>
      <c r="D334" s="145">
        <v>2.1887099999999999</v>
      </c>
      <c r="E334" s="145">
        <v>2.1957800000000001</v>
      </c>
      <c r="F334" s="145" t="s">
        <v>192</v>
      </c>
      <c r="G334" s="145">
        <v>2.2496800000000001</v>
      </c>
      <c r="H334" s="145">
        <v>2.21414</v>
      </c>
      <c r="I334" s="145">
        <v>2.21455</v>
      </c>
    </row>
    <row r="335" spans="1:9" x14ac:dyDescent="0.25">
      <c r="A335" s="146" t="s">
        <v>191</v>
      </c>
      <c r="B335" s="144">
        <v>43584</v>
      </c>
      <c r="C335" s="144">
        <v>43590</v>
      </c>
      <c r="D335" s="145">
        <v>2.2217099999999999</v>
      </c>
      <c r="E335" s="145">
        <v>2.17604</v>
      </c>
      <c r="F335" s="145" t="s">
        <v>192</v>
      </c>
      <c r="G335" s="145">
        <v>2.2773099999999999</v>
      </c>
      <c r="H335" s="145">
        <v>2.27094</v>
      </c>
      <c r="I335" s="145">
        <v>2.2489300000000001</v>
      </c>
    </row>
    <row r="336" spans="1:9" x14ac:dyDescent="0.25">
      <c r="A336" s="146" t="s">
        <v>191</v>
      </c>
      <c r="B336" s="144">
        <v>43591</v>
      </c>
      <c r="C336" s="144">
        <v>43597</v>
      </c>
      <c r="D336" s="145">
        <v>2.2708200000000001</v>
      </c>
      <c r="E336" s="145">
        <v>2.2600099999999999</v>
      </c>
      <c r="F336" s="145" t="s">
        <v>192</v>
      </c>
      <c r="G336" s="145">
        <v>2.3194300000000001</v>
      </c>
      <c r="H336" s="145">
        <v>2.2968999999999999</v>
      </c>
      <c r="I336" s="145">
        <v>2.2940499999999999</v>
      </c>
    </row>
    <row r="337" spans="1:9" x14ac:dyDescent="0.25">
      <c r="A337" s="146" t="s">
        <v>191</v>
      </c>
      <c r="B337" s="144">
        <v>43598</v>
      </c>
      <c r="C337" s="144">
        <v>43604</v>
      </c>
      <c r="D337" s="145">
        <v>2.2547299999999999</v>
      </c>
      <c r="E337" s="145">
        <v>2.22688</v>
      </c>
      <c r="F337" s="145" t="s">
        <v>192</v>
      </c>
      <c r="G337" s="145">
        <v>2.3187700000000002</v>
      </c>
      <c r="H337" s="145">
        <v>2.2982</v>
      </c>
      <c r="I337" s="145">
        <v>2.2818299999999998</v>
      </c>
    </row>
    <row r="338" spans="1:9" x14ac:dyDescent="0.25">
      <c r="A338" s="146" t="s">
        <v>191</v>
      </c>
      <c r="B338" s="144">
        <v>43605</v>
      </c>
      <c r="C338" s="144">
        <v>43611</v>
      </c>
      <c r="D338" s="145">
        <v>2.2745099999999998</v>
      </c>
      <c r="E338" s="145">
        <v>2.2439499999999999</v>
      </c>
      <c r="F338" s="145" t="s">
        <v>192</v>
      </c>
      <c r="G338" s="145">
        <v>2.3305899999999999</v>
      </c>
      <c r="H338" s="145">
        <v>2.2987500000000001</v>
      </c>
      <c r="I338" s="145">
        <v>2.2965300000000002</v>
      </c>
    </row>
    <row r="339" spans="1:9" x14ac:dyDescent="0.25">
      <c r="A339" s="146" t="s">
        <v>191</v>
      </c>
      <c r="B339" s="144">
        <v>43612</v>
      </c>
      <c r="C339" s="144">
        <v>43618</v>
      </c>
      <c r="D339" s="145">
        <v>2.2927900000000001</v>
      </c>
      <c r="E339" s="145">
        <v>2.2380300000000002</v>
      </c>
      <c r="F339" s="145" t="s">
        <v>192</v>
      </c>
      <c r="G339" s="145">
        <v>2.3386900000000002</v>
      </c>
      <c r="H339" s="145">
        <v>2.3147500000000001</v>
      </c>
      <c r="I339" s="145">
        <v>2.3009200000000001</v>
      </c>
    </row>
    <row r="340" spans="1:9" x14ac:dyDescent="0.25">
      <c r="A340" s="146" t="s">
        <v>191</v>
      </c>
      <c r="B340" s="144">
        <v>43619</v>
      </c>
      <c r="C340" s="144">
        <v>43625</v>
      </c>
      <c r="D340" s="145">
        <v>2.3561299999999998</v>
      </c>
      <c r="E340" s="145">
        <v>2.3372600000000001</v>
      </c>
      <c r="F340" s="145" t="s">
        <v>192</v>
      </c>
      <c r="G340" s="145">
        <v>2.4313400000000001</v>
      </c>
      <c r="H340" s="145">
        <v>2.39391</v>
      </c>
      <c r="I340" s="145">
        <v>2.38741</v>
      </c>
    </row>
    <row r="341" spans="1:9" x14ac:dyDescent="0.25">
      <c r="A341" s="146" t="s">
        <v>191</v>
      </c>
      <c r="B341" s="144">
        <v>43626</v>
      </c>
      <c r="C341" s="144">
        <v>43632</v>
      </c>
      <c r="D341" s="145">
        <v>2.34328</v>
      </c>
      <c r="E341" s="145">
        <v>2.3363</v>
      </c>
      <c r="F341" s="145" t="s">
        <v>192</v>
      </c>
      <c r="G341" s="145">
        <v>2.4216899999999999</v>
      </c>
      <c r="H341" s="145">
        <v>2.3974600000000001</v>
      </c>
      <c r="I341" s="145">
        <v>2.3904000000000001</v>
      </c>
    </row>
    <row r="342" spans="1:9" x14ac:dyDescent="0.25">
      <c r="A342" s="146" t="s">
        <v>191</v>
      </c>
      <c r="B342" s="144">
        <v>43633</v>
      </c>
      <c r="C342" s="144">
        <v>43639</v>
      </c>
      <c r="D342" s="145">
        <v>2.36999</v>
      </c>
      <c r="E342" s="145">
        <v>2.3438500000000002</v>
      </c>
      <c r="F342" s="145" t="s">
        <v>192</v>
      </c>
      <c r="G342" s="145">
        <v>2.4367899999999998</v>
      </c>
      <c r="H342" s="145">
        <v>2.4000300000000001</v>
      </c>
      <c r="I342" s="145">
        <v>2.3974099999999998</v>
      </c>
    </row>
    <row r="343" spans="1:9" x14ac:dyDescent="0.25">
      <c r="A343" s="146" t="s">
        <v>191</v>
      </c>
      <c r="B343" s="144">
        <v>43640</v>
      </c>
      <c r="C343" s="144">
        <v>43646</v>
      </c>
      <c r="D343" s="145">
        <v>2.3634900000000001</v>
      </c>
      <c r="E343" s="145">
        <v>2.34178</v>
      </c>
      <c r="F343" s="145" t="s">
        <v>192</v>
      </c>
      <c r="G343" s="145">
        <v>2.4311799999999999</v>
      </c>
      <c r="H343" s="145">
        <v>2.3936500000000001</v>
      </c>
      <c r="I343" s="145">
        <v>2.3810099999999998</v>
      </c>
    </row>
    <row r="344" spans="1:9" x14ac:dyDescent="0.25">
      <c r="A344" s="146" t="s">
        <v>191</v>
      </c>
      <c r="B344" s="144">
        <v>43647</v>
      </c>
      <c r="C344" s="144">
        <v>43653</v>
      </c>
      <c r="D344" s="145">
        <v>2.1358600000000001</v>
      </c>
      <c r="E344" s="145">
        <v>2.1235400000000002</v>
      </c>
      <c r="F344" s="145" t="s">
        <v>192</v>
      </c>
      <c r="G344" s="145">
        <v>2.2213500000000002</v>
      </c>
      <c r="H344" s="145">
        <v>2.1776900000000001</v>
      </c>
      <c r="I344" s="145">
        <v>2.1726100000000002</v>
      </c>
    </row>
    <row r="345" spans="1:9" x14ac:dyDescent="0.25">
      <c r="A345" s="146" t="s">
        <v>191</v>
      </c>
      <c r="B345" s="144">
        <v>43654</v>
      </c>
      <c r="C345" s="144">
        <v>43660</v>
      </c>
      <c r="D345" s="145">
        <v>2.1190099999999998</v>
      </c>
      <c r="E345" s="145">
        <v>2.12073</v>
      </c>
      <c r="F345" s="145" t="s">
        <v>192</v>
      </c>
      <c r="G345" s="145">
        <v>2.23387</v>
      </c>
      <c r="H345" s="145">
        <v>2.1805699999999999</v>
      </c>
      <c r="I345" s="145">
        <v>2.1775099999999998</v>
      </c>
    </row>
    <row r="346" spans="1:9" x14ac:dyDescent="0.25">
      <c r="A346" s="146" t="s">
        <v>191</v>
      </c>
      <c r="B346" s="144">
        <v>43661</v>
      </c>
      <c r="C346" s="144">
        <v>43667</v>
      </c>
      <c r="D346" s="145">
        <v>2.1339700000000001</v>
      </c>
      <c r="E346" s="145">
        <v>2.0950000000000002</v>
      </c>
      <c r="F346" s="145" t="s">
        <v>192</v>
      </c>
      <c r="G346" s="145">
        <v>2.2295699999999998</v>
      </c>
      <c r="H346" s="145">
        <v>2.1808399999999999</v>
      </c>
      <c r="I346" s="145">
        <v>2.1658200000000001</v>
      </c>
    </row>
    <row r="347" spans="1:9" x14ac:dyDescent="0.25">
      <c r="A347" s="146" t="s">
        <v>191</v>
      </c>
      <c r="B347" s="144">
        <v>43668</v>
      </c>
      <c r="C347" s="144">
        <v>43674</v>
      </c>
      <c r="D347" s="145">
        <v>2.12338</v>
      </c>
      <c r="E347" s="145">
        <v>2.1307399999999999</v>
      </c>
      <c r="F347" s="145" t="s">
        <v>192</v>
      </c>
      <c r="G347" s="145">
        <v>2.2267999999999999</v>
      </c>
      <c r="H347" s="145">
        <v>2.1825000000000001</v>
      </c>
      <c r="I347" s="145">
        <v>2.1734599999999999</v>
      </c>
    </row>
    <row r="348" spans="1:9" x14ac:dyDescent="0.25">
      <c r="A348" s="146" t="s">
        <v>191</v>
      </c>
      <c r="B348" s="144">
        <v>43675</v>
      </c>
      <c r="C348" s="144">
        <v>43681</v>
      </c>
      <c r="D348" s="145">
        <v>2.1452499999999999</v>
      </c>
      <c r="E348" s="145">
        <v>2.1107200000000002</v>
      </c>
      <c r="F348" s="145" t="s">
        <v>192</v>
      </c>
      <c r="G348" s="145">
        <v>2.2673899999999998</v>
      </c>
      <c r="H348" s="145">
        <v>2.2119200000000001</v>
      </c>
      <c r="I348" s="145">
        <v>2.1924000000000001</v>
      </c>
    </row>
    <row r="349" spans="1:9" x14ac:dyDescent="0.25">
      <c r="A349" s="146" t="s">
        <v>191</v>
      </c>
      <c r="B349" s="144">
        <v>43682</v>
      </c>
      <c r="C349" s="144">
        <v>43688</v>
      </c>
      <c r="D349" s="145">
        <v>2.1737700000000002</v>
      </c>
      <c r="E349" s="145">
        <v>2.1555200000000001</v>
      </c>
      <c r="F349" s="145" t="s">
        <v>192</v>
      </c>
      <c r="G349" s="145">
        <v>2.2836500000000002</v>
      </c>
      <c r="H349" s="145">
        <v>2.2341899999999999</v>
      </c>
      <c r="I349" s="145">
        <v>2.22065</v>
      </c>
    </row>
    <row r="350" spans="1:9" x14ac:dyDescent="0.25">
      <c r="A350" s="146" t="s">
        <v>191</v>
      </c>
      <c r="B350" s="144">
        <v>43689</v>
      </c>
      <c r="C350" s="144">
        <v>43695</v>
      </c>
      <c r="D350" s="145">
        <v>2.1844800000000002</v>
      </c>
      <c r="E350" s="145">
        <v>2.1619899999999999</v>
      </c>
      <c r="F350" s="145" t="s">
        <v>192</v>
      </c>
      <c r="G350" s="145">
        <v>2.2773599999999998</v>
      </c>
      <c r="H350" s="145">
        <v>2.23732</v>
      </c>
      <c r="I350" s="145">
        <v>2.2297199999999999</v>
      </c>
    </row>
    <row r="351" spans="1:9" x14ac:dyDescent="0.25">
      <c r="A351" s="146" t="s">
        <v>191</v>
      </c>
      <c r="B351" s="144">
        <v>43696</v>
      </c>
      <c r="C351" s="144">
        <v>43702</v>
      </c>
      <c r="D351" s="145">
        <v>2.1762700000000001</v>
      </c>
      <c r="E351" s="145">
        <v>2.1573099999999998</v>
      </c>
      <c r="F351" s="145" t="s">
        <v>192</v>
      </c>
      <c r="G351" s="145">
        <v>2.2816000000000001</v>
      </c>
      <c r="H351" s="145">
        <v>2.23787</v>
      </c>
      <c r="I351" s="145">
        <v>2.2244700000000002</v>
      </c>
    </row>
    <row r="352" spans="1:9" x14ac:dyDescent="0.25">
      <c r="A352" s="146" t="s">
        <v>191</v>
      </c>
      <c r="B352" s="144">
        <v>43703</v>
      </c>
      <c r="C352" s="144">
        <v>43709</v>
      </c>
      <c r="D352" s="145">
        <v>2.1858499999999998</v>
      </c>
      <c r="E352" s="145">
        <v>2.1570800000000001</v>
      </c>
      <c r="F352" s="145" t="s">
        <v>192</v>
      </c>
      <c r="G352" s="145">
        <v>2.2931300000000001</v>
      </c>
      <c r="H352" s="145">
        <v>2.2369400000000002</v>
      </c>
      <c r="I352" s="145">
        <v>2.2244999999999999</v>
      </c>
    </row>
    <row r="353" spans="1:9" x14ac:dyDescent="0.25">
      <c r="A353" s="146" t="s">
        <v>191</v>
      </c>
      <c r="B353" s="144">
        <v>43710</v>
      </c>
      <c r="C353" s="144">
        <v>43716</v>
      </c>
      <c r="D353" s="145">
        <v>2.1508099999999999</v>
      </c>
      <c r="E353" s="145">
        <v>2.1682999999999999</v>
      </c>
      <c r="F353" s="145" t="s">
        <v>192</v>
      </c>
      <c r="G353" s="145">
        <v>2.2524999999999999</v>
      </c>
      <c r="H353" s="145">
        <v>2.2130399999999999</v>
      </c>
      <c r="I353" s="145">
        <v>2.2051400000000001</v>
      </c>
    </row>
    <row r="354" spans="1:9" x14ac:dyDescent="0.25">
      <c r="A354" s="146" t="s">
        <v>191</v>
      </c>
      <c r="B354" s="144">
        <v>43717</v>
      </c>
      <c r="C354" s="144">
        <v>43723</v>
      </c>
      <c r="D354" s="145">
        <v>2.1507299999999998</v>
      </c>
      <c r="E354" s="145">
        <v>2.1196799999999998</v>
      </c>
      <c r="F354" s="145" t="s">
        <v>192</v>
      </c>
      <c r="G354" s="145">
        <v>2.2707099999999998</v>
      </c>
      <c r="H354" s="145">
        <v>2.2135600000000002</v>
      </c>
      <c r="I354" s="145">
        <v>2.1974499999999999</v>
      </c>
    </row>
    <row r="355" spans="1:9" x14ac:dyDescent="0.25">
      <c r="A355" s="146" t="s">
        <v>191</v>
      </c>
      <c r="B355" s="144">
        <v>43724</v>
      </c>
      <c r="C355" s="144">
        <v>43730</v>
      </c>
      <c r="D355" s="145">
        <v>2.1667800000000002</v>
      </c>
      <c r="E355" s="145">
        <v>2.1393399999999998</v>
      </c>
      <c r="F355" s="145" t="s">
        <v>192</v>
      </c>
      <c r="G355" s="145">
        <v>2.2579400000000001</v>
      </c>
      <c r="H355" s="145">
        <v>2.2134800000000001</v>
      </c>
      <c r="I355" s="145">
        <v>2.2021600000000001</v>
      </c>
    </row>
    <row r="356" spans="1:9" x14ac:dyDescent="0.25">
      <c r="A356" s="146" t="s">
        <v>191</v>
      </c>
      <c r="B356" s="144">
        <v>43731</v>
      </c>
      <c r="C356" s="144">
        <v>43737</v>
      </c>
      <c r="D356" s="145">
        <v>2.1516099999999998</v>
      </c>
      <c r="E356" s="145">
        <v>2.1373099999999998</v>
      </c>
      <c r="F356" s="145" t="s">
        <v>192</v>
      </c>
      <c r="G356" s="145">
        <v>2.2563599999999999</v>
      </c>
      <c r="H356" s="145">
        <v>2.21617</v>
      </c>
      <c r="I356" s="145">
        <v>2.2014200000000002</v>
      </c>
    </row>
    <row r="357" spans="1:9" x14ac:dyDescent="0.25">
      <c r="A357" s="146" t="s">
        <v>191</v>
      </c>
      <c r="B357" s="144">
        <v>43738</v>
      </c>
      <c r="C357" s="144">
        <v>43744</v>
      </c>
      <c r="D357" s="145">
        <v>2.28654</v>
      </c>
      <c r="E357" s="145">
        <v>2.2450399999999999</v>
      </c>
      <c r="F357" s="145" t="s">
        <v>192</v>
      </c>
      <c r="G357" s="145">
        <v>2.3414999999999999</v>
      </c>
      <c r="H357" s="145">
        <v>2.3145799999999999</v>
      </c>
      <c r="I357" s="145">
        <v>2.3096299999999998</v>
      </c>
    </row>
    <row r="358" spans="1:9" x14ac:dyDescent="0.25">
      <c r="A358" s="146" t="s">
        <v>191</v>
      </c>
      <c r="B358" s="144">
        <v>43745</v>
      </c>
      <c r="C358" s="144">
        <v>43751</v>
      </c>
      <c r="D358" s="145">
        <v>2.27182</v>
      </c>
      <c r="E358" s="145">
        <v>2.2750400000000002</v>
      </c>
      <c r="F358" s="145" t="s">
        <v>192</v>
      </c>
      <c r="G358" s="145">
        <v>2.3776000000000002</v>
      </c>
      <c r="H358" s="145">
        <v>2.3247499999999999</v>
      </c>
      <c r="I358" s="145">
        <v>2.3162099999999999</v>
      </c>
    </row>
    <row r="359" spans="1:9" x14ac:dyDescent="0.25">
      <c r="A359" s="146" t="s">
        <v>191</v>
      </c>
      <c r="B359" s="144">
        <v>43752</v>
      </c>
      <c r="C359" s="144">
        <v>43758</v>
      </c>
      <c r="D359" s="145">
        <v>2.2892999999999999</v>
      </c>
      <c r="E359" s="145">
        <v>2.2307999999999999</v>
      </c>
      <c r="F359" s="145" t="s">
        <v>192</v>
      </c>
      <c r="G359" s="145">
        <v>2.3718900000000001</v>
      </c>
      <c r="H359" s="145">
        <v>2.32518</v>
      </c>
      <c r="I359" s="145">
        <v>2.3028200000000001</v>
      </c>
    </row>
    <row r="360" spans="1:9" x14ac:dyDescent="0.25">
      <c r="A360" s="146" t="s">
        <v>191</v>
      </c>
      <c r="B360" s="144">
        <v>43759</v>
      </c>
      <c r="C360" s="144">
        <v>43765</v>
      </c>
      <c r="D360" s="145">
        <v>2.28715</v>
      </c>
      <c r="E360" s="145">
        <v>2.26715</v>
      </c>
      <c r="F360" s="145" t="s">
        <v>192</v>
      </c>
      <c r="G360" s="145">
        <v>2.3743699999999999</v>
      </c>
      <c r="H360" s="145">
        <v>2.3304800000000001</v>
      </c>
      <c r="I360" s="145">
        <v>2.3220999999999998</v>
      </c>
    </row>
    <row r="361" spans="1:9" x14ac:dyDescent="0.25">
      <c r="A361" s="146" t="s">
        <v>191</v>
      </c>
      <c r="B361" s="144">
        <v>43766</v>
      </c>
      <c r="C361" s="144">
        <v>43772</v>
      </c>
      <c r="D361" s="145">
        <v>2.27278</v>
      </c>
      <c r="E361" s="145">
        <v>2.2514599999999998</v>
      </c>
      <c r="F361" s="145" t="s">
        <v>192</v>
      </c>
      <c r="G361" s="145">
        <v>2.3862299999999999</v>
      </c>
      <c r="H361" s="145">
        <v>2.34491</v>
      </c>
      <c r="I361" s="145">
        <v>2.32592</v>
      </c>
    </row>
    <row r="362" spans="1:9" x14ac:dyDescent="0.25">
      <c r="A362" s="146" t="s">
        <v>191</v>
      </c>
      <c r="B362" s="144">
        <v>43773</v>
      </c>
      <c r="C362" s="144">
        <v>43779</v>
      </c>
      <c r="D362" s="145">
        <v>2.3102399999999998</v>
      </c>
      <c r="E362" s="145">
        <v>2.3033800000000002</v>
      </c>
      <c r="F362" s="145" t="s">
        <v>192</v>
      </c>
      <c r="G362" s="145">
        <v>2.4024999999999999</v>
      </c>
      <c r="H362" s="145">
        <v>2.34958</v>
      </c>
      <c r="I362" s="145">
        <v>2.3469799999999998</v>
      </c>
    </row>
    <row r="363" spans="1:9" x14ac:dyDescent="0.25">
      <c r="A363" s="146" t="s">
        <v>191</v>
      </c>
      <c r="B363" s="144">
        <v>43780</v>
      </c>
      <c r="C363" s="144">
        <v>43786</v>
      </c>
      <c r="D363" s="145">
        <v>2.3111899999999999</v>
      </c>
      <c r="E363" s="145">
        <v>2.2528199999999998</v>
      </c>
      <c r="F363" s="145" t="s">
        <v>192</v>
      </c>
      <c r="G363" s="145">
        <v>2.40449</v>
      </c>
      <c r="H363" s="145">
        <v>2.3504700000000001</v>
      </c>
      <c r="I363" s="145">
        <v>2.33162</v>
      </c>
    </row>
    <row r="364" spans="1:9" x14ac:dyDescent="0.25">
      <c r="A364" s="146" t="s">
        <v>191</v>
      </c>
      <c r="B364" s="144">
        <v>43787</v>
      </c>
      <c r="C364" s="144">
        <v>43793</v>
      </c>
      <c r="D364" s="145">
        <v>2.28769</v>
      </c>
      <c r="E364" s="145">
        <v>2.3048099999999998</v>
      </c>
      <c r="F364" s="145" t="s">
        <v>192</v>
      </c>
      <c r="G364" s="145">
        <v>2.3982899999999998</v>
      </c>
      <c r="H364" s="145">
        <v>2.3479899999999998</v>
      </c>
      <c r="I364" s="145">
        <v>2.3458899999999998</v>
      </c>
    </row>
    <row r="365" spans="1:9" x14ac:dyDescent="0.25">
      <c r="A365" s="146" t="s">
        <v>191</v>
      </c>
      <c r="B365" s="144">
        <v>43794</v>
      </c>
      <c r="C365" s="144">
        <v>43800</v>
      </c>
      <c r="D365" s="145">
        <v>2.2943500000000001</v>
      </c>
      <c r="E365" s="145">
        <v>2.2561100000000001</v>
      </c>
      <c r="F365" s="145" t="s">
        <v>192</v>
      </c>
      <c r="G365" s="145">
        <v>2.3973</v>
      </c>
      <c r="H365" s="145">
        <v>2.3462800000000001</v>
      </c>
      <c r="I365" s="145">
        <v>2.3285</v>
      </c>
    </row>
    <row r="366" spans="1:9" x14ac:dyDescent="0.25">
      <c r="A366" s="146" t="s">
        <v>191</v>
      </c>
      <c r="B366" s="144">
        <v>43801</v>
      </c>
      <c r="C366" s="144">
        <v>43807</v>
      </c>
      <c r="D366" s="145">
        <v>2.2577099999999999</v>
      </c>
      <c r="E366" s="145">
        <v>2.2441800000000001</v>
      </c>
      <c r="F366" s="145" t="s">
        <v>192</v>
      </c>
      <c r="G366" s="145">
        <v>2.3509199999999999</v>
      </c>
      <c r="H366" s="145">
        <v>2.29548</v>
      </c>
      <c r="I366" s="145">
        <v>2.2889300000000001</v>
      </c>
    </row>
    <row r="367" spans="1:9" x14ac:dyDescent="0.25">
      <c r="A367" s="146" t="s">
        <v>191</v>
      </c>
      <c r="B367" s="144">
        <v>43808</v>
      </c>
      <c r="C367" s="144">
        <v>43814</v>
      </c>
      <c r="D367" s="145">
        <v>2.24444</v>
      </c>
      <c r="E367" s="145">
        <v>2.2008999999999999</v>
      </c>
      <c r="F367" s="145" t="s">
        <v>192</v>
      </c>
      <c r="G367" s="145">
        <v>2.3553600000000001</v>
      </c>
      <c r="H367" s="145">
        <v>2.3006199999999999</v>
      </c>
      <c r="I367" s="145">
        <v>2.2798500000000002</v>
      </c>
    </row>
    <row r="368" spans="1:9" x14ac:dyDescent="0.25">
      <c r="A368" s="146" t="s">
        <v>191</v>
      </c>
      <c r="B368" s="144">
        <v>43815</v>
      </c>
      <c r="C368" s="144">
        <v>43821</v>
      </c>
      <c r="D368" s="145">
        <v>2.2477900000000002</v>
      </c>
      <c r="E368" s="145">
        <v>2.2598400000000001</v>
      </c>
      <c r="F368" s="145" t="s">
        <v>192</v>
      </c>
      <c r="G368" s="145">
        <v>2.3560699999999999</v>
      </c>
      <c r="H368" s="145">
        <v>2.30165</v>
      </c>
      <c r="I368" s="145">
        <v>2.2986499999999999</v>
      </c>
    </row>
    <row r="369" spans="1:9" x14ac:dyDescent="0.25">
      <c r="A369" s="146" t="s">
        <v>191</v>
      </c>
      <c r="B369" s="144">
        <v>43822</v>
      </c>
      <c r="C369" s="144">
        <v>43828</v>
      </c>
      <c r="D369" s="145">
        <v>2.2661199999999999</v>
      </c>
      <c r="E369" s="145">
        <v>2.2176999999999998</v>
      </c>
      <c r="F369" s="145" t="s">
        <v>192</v>
      </c>
      <c r="G369" s="145">
        <v>2.3560500000000002</v>
      </c>
      <c r="H369" s="145">
        <v>2.29861</v>
      </c>
      <c r="I369" s="145">
        <v>2.2845499999999999</v>
      </c>
    </row>
    <row r="370" spans="1:9" x14ac:dyDescent="0.25">
      <c r="A370" s="146" t="s">
        <v>191</v>
      </c>
      <c r="B370" s="144">
        <v>43829</v>
      </c>
      <c r="C370" s="144">
        <v>43835</v>
      </c>
      <c r="D370" s="145">
        <v>2.3294100000000002</v>
      </c>
      <c r="E370" s="145">
        <v>2.28105</v>
      </c>
      <c r="F370" s="145" t="s">
        <v>192</v>
      </c>
      <c r="G370" s="145">
        <v>2.4266000000000001</v>
      </c>
      <c r="H370" s="145">
        <v>2.3628999999999998</v>
      </c>
      <c r="I370" s="145">
        <v>2.3523100000000001</v>
      </c>
    </row>
    <row r="371" spans="1:9" x14ac:dyDescent="0.25">
      <c r="A371" s="146" t="s">
        <v>191</v>
      </c>
      <c r="B371" s="144">
        <v>43836</v>
      </c>
      <c r="C371" s="144">
        <v>43842</v>
      </c>
      <c r="D371" s="145">
        <v>2.3402699999999999</v>
      </c>
      <c r="E371" s="145">
        <v>2.32037</v>
      </c>
      <c r="F371" s="145" t="s">
        <v>192</v>
      </c>
      <c r="G371" s="145">
        <v>2.4410500000000002</v>
      </c>
      <c r="H371" s="145">
        <v>2.3886699999999998</v>
      </c>
      <c r="I371" s="145">
        <v>2.3756300000000001</v>
      </c>
    </row>
    <row r="372" spans="1:9" x14ac:dyDescent="0.25">
      <c r="A372" s="146" t="s">
        <v>191</v>
      </c>
      <c r="B372" s="144">
        <v>43843</v>
      </c>
      <c r="C372" s="144">
        <v>43849</v>
      </c>
      <c r="D372" s="145">
        <v>2.3336999999999999</v>
      </c>
      <c r="E372" s="145">
        <v>2.33074</v>
      </c>
      <c r="F372" s="145" t="s">
        <v>192</v>
      </c>
      <c r="G372" s="145">
        <v>2.4466399999999999</v>
      </c>
      <c r="H372" s="145">
        <v>2.3908499999999999</v>
      </c>
      <c r="I372" s="145">
        <v>2.38191</v>
      </c>
    </row>
    <row r="373" spans="1:9" x14ac:dyDescent="0.25">
      <c r="A373" s="146" t="s">
        <v>191</v>
      </c>
      <c r="B373" s="144">
        <v>43850</v>
      </c>
      <c r="C373" s="144">
        <v>43856</v>
      </c>
      <c r="D373" s="145">
        <v>2.32585</v>
      </c>
      <c r="E373" s="145">
        <v>2.3229600000000001</v>
      </c>
      <c r="F373" s="145" t="s">
        <v>192</v>
      </c>
      <c r="G373" s="145">
        <v>2.4461900000000001</v>
      </c>
      <c r="H373" s="145">
        <v>2.3920300000000001</v>
      </c>
      <c r="I373" s="145">
        <v>2.3834499999999998</v>
      </c>
    </row>
    <row r="374" spans="1:9" x14ac:dyDescent="0.25">
      <c r="A374" s="146" t="s">
        <v>191</v>
      </c>
      <c r="B374" s="144">
        <v>43857</v>
      </c>
      <c r="C374" s="144">
        <v>43863</v>
      </c>
      <c r="D374" s="145">
        <v>2.35019</v>
      </c>
      <c r="E374" s="145">
        <v>2.3184800000000001</v>
      </c>
      <c r="F374" s="145" t="s">
        <v>192</v>
      </c>
      <c r="G374" s="145">
        <v>2.4611999999999998</v>
      </c>
      <c r="H374" s="145">
        <v>2.39561</v>
      </c>
      <c r="I374" s="145">
        <v>2.3781599999999998</v>
      </c>
    </row>
    <row r="375" spans="1:9" x14ac:dyDescent="0.25">
      <c r="A375" s="146" t="s">
        <v>191</v>
      </c>
      <c r="B375" s="144">
        <v>43864</v>
      </c>
      <c r="C375" s="144">
        <v>43870</v>
      </c>
      <c r="D375" s="145">
        <v>2.3372000000000002</v>
      </c>
      <c r="E375" s="145">
        <v>2.3078099999999999</v>
      </c>
      <c r="F375" s="145" t="s">
        <v>192</v>
      </c>
      <c r="G375" s="145">
        <v>2.46855</v>
      </c>
      <c r="H375" s="145">
        <v>2.4094000000000002</v>
      </c>
      <c r="I375" s="145">
        <v>2.3881600000000001</v>
      </c>
    </row>
    <row r="376" spans="1:9" x14ac:dyDescent="0.25">
      <c r="A376" s="146" t="s">
        <v>191</v>
      </c>
      <c r="B376" s="144">
        <v>43871</v>
      </c>
      <c r="C376" s="144">
        <v>43877</v>
      </c>
      <c r="D376" s="145">
        <v>2.36117</v>
      </c>
      <c r="E376" s="145">
        <v>2.3340399999999999</v>
      </c>
      <c r="F376" s="145" t="s">
        <v>192</v>
      </c>
      <c r="G376" s="145">
        <v>2.4657200000000001</v>
      </c>
      <c r="H376" s="145">
        <v>2.4142999999999999</v>
      </c>
      <c r="I376" s="145">
        <v>2.4021400000000002</v>
      </c>
    </row>
    <row r="377" spans="1:9" x14ac:dyDescent="0.25">
      <c r="A377" s="146" t="s">
        <v>191</v>
      </c>
      <c r="B377" s="144">
        <v>43878</v>
      </c>
      <c r="C377" s="144">
        <v>43884</v>
      </c>
      <c r="D377" s="145">
        <v>2.3575200000000001</v>
      </c>
      <c r="E377" s="145">
        <v>2.3247100000000001</v>
      </c>
      <c r="F377" s="145" t="s">
        <v>192</v>
      </c>
      <c r="G377" s="145">
        <v>2.48278</v>
      </c>
      <c r="H377" s="145">
        <v>2.4146000000000001</v>
      </c>
      <c r="I377" s="145">
        <v>2.40387</v>
      </c>
    </row>
    <row r="378" spans="1:9" x14ac:dyDescent="0.25">
      <c r="A378" s="146" t="s">
        <v>191</v>
      </c>
      <c r="B378" s="144">
        <v>43885</v>
      </c>
      <c r="C378" s="144">
        <v>43891</v>
      </c>
      <c r="D378" s="145">
        <v>2.1259100000000002</v>
      </c>
      <c r="E378" s="145">
        <v>2.25292</v>
      </c>
      <c r="F378" s="145" t="s">
        <v>192</v>
      </c>
      <c r="G378" s="145">
        <v>2.4683299999999999</v>
      </c>
      <c r="H378" s="145">
        <v>2.3695400000000002</v>
      </c>
      <c r="I378" s="145">
        <v>2.3364400000000001</v>
      </c>
    </row>
    <row r="379" spans="1:9" x14ac:dyDescent="0.25">
      <c r="A379" s="146" t="s">
        <v>191</v>
      </c>
      <c r="B379" s="144">
        <v>43892</v>
      </c>
      <c r="C379" s="144">
        <v>43898</v>
      </c>
      <c r="D379" s="145">
        <v>2.0631200000000001</v>
      </c>
      <c r="E379" s="145">
        <v>2.0389499999999998</v>
      </c>
      <c r="F379" s="145" t="s">
        <v>192</v>
      </c>
      <c r="G379" s="145">
        <v>2.1880500000000001</v>
      </c>
      <c r="H379" s="145">
        <v>2.1258400000000002</v>
      </c>
      <c r="I379" s="145">
        <v>2.1117900000000001</v>
      </c>
    </row>
    <row r="380" spans="1:9" x14ac:dyDescent="0.25">
      <c r="A380" s="146" t="s">
        <v>191</v>
      </c>
      <c r="B380" s="144">
        <v>43899</v>
      </c>
      <c r="C380" s="144">
        <v>43905</v>
      </c>
      <c r="D380" s="145">
        <v>2.0762200000000002</v>
      </c>
      <c r="E380" s="145">
        <v>2.0397500000000002</v>
      </c>
      <c r="F380" s="145" t="s">
        <v>192</v>
      </c>
      <c r="G380" s="145">
        <v>2.1825399999999999</v>
      </c>
      <c r="H380" s="145">
        <v>2.1269100000000001</v>
      </c>
      <c r="I380" s="145">
        <v>2.1146500000000001</v>
      </c>
    </row>
    <row r="381" spans="1:9" x14ac:dyDescent="0.25">
      <c r="A381" s="146" t="s">
        <v>191</v>
      </c>
      <c r="B381" s="144">
        <v>43906</v>
      </c>
      <c r="C381" s="144">
        <v>43912</v>
      </c>
      <c r="D381" s="145">
        <v>2.07212</v>
      </c>
      <c r="E381" s="145">
        <v>2.0663499999999999</v>
      </c>
      <c r="F381" s="145" t="s">
        <v>192</v>
      </c>
      <c r="G381" s="145">
        <v>2.1909999999999998</v>
      </c>
      <c r="H381" s="145">
        <v>2.1308500000000001</v>
      </c>
      <c r="I381" s="145">
        <v>2.11903</v>
      </c>
    </row>
    <row r="382" spans="1:9" x14ac:dyDescent="0.25">
      <c r="A382" s="146" t="s">
        <v>191</v>
      </c>
      <c r="B382" s="144">
        <v>43913</v>
      </c>
      <c r="C382" s="144">
        <v>43919</v>
      </c>
      <c r="D382" s="145">
        <v>2.0598900000000002</v>
      </c>
      <c r="E382" s="145">
        <v>2.0376300000000001</v>
      </c>
      <c r="F382" s="145" t="s">
        <v>192</v>
      </c>
      <c r="G382" s="145">
        <v>2.1946300000000001</v>
      </c>
      <c r="H382" s="145">
        <v>2.13672</v>
      </c>
      <c r="I382" s="145">
        <v>2.10107</v>
      </c>
    </row>
    <row r="383" spans="1:9" x14ac:dyDescent="0.25">
      <c r="A383" s="146" t="s">
        <v>191</v>
      </c>
      <c r="B383" s="144">
        <v>43920</v>
      </c>
      <c r="C383" s="144">
        <v>43926</v>
      </c>
      <c r="D383" s="145">
        <v>1.69079</v>
      </c>
      <c r="E383" s="145">
        <v>1.7572000000000001</v>
      </c>
      <c r="F383" s="145" t="s">
        <v>192</v>
      </c>
      <c r="G383" s="145" t="s">
        <v>192</v>
      </c>
      <c r="H383" s="145">
        <v>1.7824199999999999</v>
      </c>
      <c r="I383" s="145">
        <v>1.7659100000000001</v>
      </c>
    </row>
    <row r="384" spans="1:9" x14ac:dyDescent="0.25">
      <c r="A384" s="146" t="s">
        <v>191</v>
      </c>
      <c r="B384" s="144">
        <v>43927</v>
      </c>
      <c r="C384" s="144">
        <v>43933</v>
      </c>
      <c r="D384" s="145" t="s">
        <v>192</v>
      </c>
      <c r="E384" s="145">
        <v>1.70533</v>
      </c>
      <c r="F384" s="145" t="s">
        <v>192</v>
      </c>
      <c r="G384" s="145" t="s">
        <v>192</v>
      </c>
      <c r="H384" s="145">
        <v>1.7505299999999999</v>
      </c>
      <c r="I384" s="145">
        <v>1.74692</v>
      </c>
    </row>
    <row r="385" spans="1:9" x14ac:dyDescent="0.25">
      <c r="A385" s="146" t="s">
        <v>191</v>
      </c>
      <c r="B385" s="144">
        <v>43934</v>
      </c>
      <c r="C385" s="144">
        <v>43940</v>
      </c>
      <c r="D385" s="145" t="s">
        <v>192</v>
      </c>
      <c r="E385" s="145">
        <v>1.7572000000000001</v>
      </c>
      <c r="F385" s="145" t="s">
        <v>192</v>
      </c>
      <c r="G385" s="145" t="s">
        <v>192</v>
      </c>
      <c r="H385" s="145">
        <v>1.75346</v>
      </c>
      <c r="I385" s="145">
        <v>1.7537</v>
      </c>
    </row>
    <row r="386" spans="1:9" x14ac:dyDescent="0.25">
      <c r="A386" s="146" t="s">
        <v>191</v>
      </c>
      <c r="B386" s="144">
        <v>43941</v>
      </c>
      <c r="C386" s="144">
        <v>43947</v>
      </c>
      <c r="D386" s="145">
        <v>1.69272</v>
      </c>
      <c r="E386" s="145" t="s">
        <v>192</v>
      </c>
      <c r="F386" s="145" t="s">
        <v>192</v>
      </c>
      <c r="G386" s="145">
        <v>1.7879</v>
      </c>
      <c r="H386" s="145">
        <v>1.75356</v>
      </c>
      <c r="I386" s="145">
        <v>1.7507699999999999</v>
      </c>
    </row>
    <row r="387" spans="1:9" x14ac:dyDescent="0.25">
      <c r="A387" s="146" t="s">
        <v>191</v>
      </c>
      <c r="B387" s="144">
        <v>43948</v>
      </c>
      <c r="C387" s="144">
        <v>43954</v>
      </c>
      <c r="D387" s="145">
        <v>1.4022600000000001</v>
      </c>
      <c r="E387" s="145">
        <v>1.2726</v>
      </c>
      <c r="F387" s="145" t="s">
        <v>192</v>
      </c>
      <c r="G387" s="145">
        <v>1.3609</v>
      </c>
      <c r="H387" s="145">
        <v>1.3615999999999999</v>
      </c>
      <c r="I387" s="145">
        <v>1.3730500000000001</v>
      </c>
    </row>
    <row r="388" spans="1:9" x14ac:dyDescent="0.25">
      <c r="A388" s="146" t="s">
        <v>191</v>
      </c>
      <c r="B388" s="144">
        <v>43955</v>
      </c>
      <c r="C388" s="144">
        <v>43961</v>
      </c>
      <c r="D388" s="145" t="s">
        <v>192</v>
      </c>
      <c r="E388" s="145">
        <v>1.1734800000000001</v>
      </c>
      <c r="F388" s="145" t="s">
        <v>192</v>
      </c>
      <c r="G388" s="145">
        <v>1.3609</v>
      </c>
      <c r="H388" s="145">
        <v>1.2741800000000001</v>
      </c>
      <c r="I388" s="145">
        <v>1.2595000000000001</v>
      </c>
    </row>
    <row r="389" spans="1:9" x14ac:dyDescent="0.25">
      <c r="A389" s="146" t="s">
        <v>191</v>
      </c>
      <c r="B389" s="144">
        <v>43962</v>
      </c>
      <c r="C389" s="144">
        <v>43968</v>
      </c>
      <c r="D389" s="145">
        <v>1.2094100000000001</v>
      </c>
      <c r="E389" s="145">
        <v>1.2451700000000001</v>
      </c>
      <c r="F389" s="145" t="s">
        <v>192</v>
      </c>
      <c r="G389" s="145">
        <v>1.3386</v>
      </c>
      <c r="H389" s="145">
        <v>1.2781</v>
      </c>
      <c r="I389" s="145">
        <v>1.2739199999999999</v>
      </c>
    </row>
    <row r="390" spans="1:9" x14ac:dyDescent="0.25">
      <c r="A390" s="146" t="s">
        <v>191</v>
      </c>
      <c r="B390" s="144">
        <v>43969</v>
      </c>
      <c r="C390" s="144">
        <v>43975</v>
      </c>
      <c r="D390" s="145">
        <v>1.2175499999999999</v>
      </c>
      <c r="E390" s="145">
        <v>1.2019200000000001</v>
      </c>
      <c r="F390" s="145" t="s">
        <v>192</v>
      </c>
      <c r="G390" s="145">
        <v>1.3609</v>
      </c>
      <c r="H390" s="145">
        <v>1.2815300000000001</v>
      </c>
      <c r="I390" s="145">
        <v>1.2646999999999999</v>
      </c>
    </row>
    <row r="391" spans="1:9" x14ac:dyDescent="0.25">
      <c r="A391" s="146" t="s">
        <v>191</v>
      </c>
      <c r="B391" s="144">
        <v>43976</v>
      </c>
      <c r="C391" s="144">
        <v>43982</v>
      </c>
      <c r="D391" s="145">
        <v>1.2112400000000001</v>
      </c>
      <c r="E391" s="145">
        <v>1.2134</v>
      </c>
      <c r="F391" s="145" t="s">
        <v>192</v>
      </c>
      <c r="G391" s="145">
        <v>1.3843300000000001</v>
      </c>
      <c r="H391" s="145">
        <v>1.3534900000000001</v>
      </c>
      <c r="I391" s="145">
        <v>1.3413600000000001</v>
      </c>
    </row>
    <row r="392" spans="1:9" x14ac:dyDescent="0.25">
      <c r="A392" s="146" t="s">
        <v>191</v>
      </c>
      <c r="B392" s="144">
        <v>43983</v>
      </c>
      <c r="C392" s="144">
        <v>43989</v>
      </c>
      <c r="D392" s="145">
        <v>1.3144800000000001</v>
      </c>
      <c r="E392" s="145">
        <v>1.2749699999999999</v>
      </c>
      <c r="F392" s="145" t="s">
        <v>192</v>
      </c>
      <c r="G392" s="145">
        <v>1.8432599999999999</v>
      </c>
      <c r="H392" s="145">
        <v>1.41737</v>
      </c>
      <c r="I392" s="145">
        <v>1.4118599999999999</v>
      </c>
    </row>
    <row r="393" spans="1:9" x14ac:dyDescent="0.25">
      <c r="A393" s="146" t="s">
        <v>191</v>
      </c>
      <c r="B393" s="144">
        <v>43990</v>
      </c>
      <c r="C393" s="144">
        <v>43996</v>
      </c>
      <c r="D393" s="145">
        <v>1.31264</v>
      </c>
      <c r="E393" s="145">
        <v>1.26434</v>
      </c>
      <c r="F393" s="145" t="s">
        <v>192</v>
      </c>
      <c r="G393" s="145">
        <v>1.4586600000000001</v>
      </c>
      <c r="H393" s="145">
        <v>1.3954299999999999</v>
      </c>
      <c r="I393" s="145">
        <v>1.38632</v>
      </c>
    </row>
    <row r="394" spans="1:9" x14ac:dyDescent="0.25">
      <c r="A394" s="146" t="s">
        <v>191</v>
      </c>
      <c r="B394" s="144">
        <v>43997</v>
      </c>
      <c r="C394" s="144">
        <v>44003</v>
      </c>
      <c r="D394" s="145">
        <v>1.30209</v>
      </c>
      <c r="E394" s="145">
        <v>1.31887</v>
      </c>
      <c r="F394" s="145" t="s">
        <v>192</v>
      </c>
      <c r="G394" s="145" t="s">
        <v>192</v>
      </c>
      <c r="H394" s="145">
        <v>1.4004700000000001</v>
      </c>
      <c r="I394" s="145">
        <v>1.3773899999999999</v>
      </c>
    </row>
    <row r="395" spans="1:9" x14ac:dyDescent="0.25">
      <c r="A395" s="146" t="s">
        <v>191</v>
      </c>
      <c r="B395" s="144">
        <v>44004</v>
      </c>
      <c r="C395" s="144">
        <v>44010</v>
      </c>
      <c r="D395" s="145" t="s">
        <v>192</v>
      </c>
      <c r="E395" s="145">
        <v>1.27481</v>
      </c>
      <c r="F395" s="145" t="s">
        <v>192</v>
      </c>
      <c r="G395" s="145">
        <v>1.45783</v>
      </c>
      <c r="H395" s="145">
        <v>1.4156500000000001</v>
      </c>
      <c r="I395" s="145">
        <v>1.40896</v>
      </c>
    </row>
    <row r="396" spans="1:9" x14ac:dyDescent="0.25">
      <c r="A396" s="146" t="s">
        <v>191</v>
      </c>
      <c r="B396" s="144">
        <v>44011</v>
      </c>
      <c r="C396" s="144">
        <v>44017</v>
      </c>
      <c r="D396" s="145">
        <v>1.31897</v>
      </c>
      <c r="E396" s="145">
        <v>1.4682299999999999</v>
      </c>
      <c r="F396" s="145" t="s">
        <v>192</v>
      </c>
      <c r="G396" s="145">
        <v>1.5905400000000001</v>
      </c>
      <c r="H396" s="145">
        <v>1.5777300000000001</v>
      </c>
      <c r="I396" s="145">
        <v>1.55419</v>
      </c>
    </row>
    <row r="397" spans="1:9" x14ac:dyDescent="0.25">
      <c r="A397" s="146" t="s">
        <v>191</v>
      </c>
      <c r="B397" s="144">
        <v>44018</v>
      </c>
      <c r="C397" s="144">
        <v>44024</v>
      </c>
      <c r="D397" s="145">
        <v>1.5918000000000001</v>
      </c>
      <c r="E397" s="145">
        <v>1.5590599999999999</v>
      </c>
      <c r="F397" s="145" t="s">
        <v>192</v>
      </c>
      <c r="G397" s="145" t="s">
        <v>192</v>
      </c>
      <c r="H397" s="145">
        <v>1.6770499999999999</v>
      </c>
      <c r="I397" s="145">
        <v>1.6504300000000001</v>
      </c>
    </row>
    <row r="398" spans="1:9" x14ac:dyDescent="0.25">
      <c r="A398" s="146" t="s">
        <v>191</v>
      </c>
      <c r="B398" s="144">
        <v>44025</v>
      </c>
      <c r="C398" s="144">
        <v>44031</v>
      </c>
      <c r="D398" s="145">
        <v>1.60432</v>
      </c>
      <c r="E398" s="145">
        <v>1.6148499999999999</v>
      </c>
      <c r="F398" s="145" t="s">
        <v>192</v>
      </c>
      <c r="G398" s="145">
        <v>1.72451</v>
      </c>
      <c r="H398" s="145">
        <v>1.6751100000000001</v>
      </c>
      <c r="I398" s="145">
        <v>1.6690499999999999</v>
      </c>
    </row>
    <row r="399" spans="1:9" x14ac:dyDescent="0.25">
      <c r="A399" s="146" t="s">
        <v>191</v>
      </c>
      <c r="B399" s="144">
        <v>44032</v>
      </c>
      <c r="C399" s="144">
        <v>44038</v>
      </c>
      <c r="D399" s="145">
        <v>1.6067800000000001</v>
      </c>
      <c r="E399" s="145">
        <v>1.56464</v>
      </c>
      <c r="F399" s="145" t="s">
        <v>192</v>
      </c>
      <c r="G399" s="145">
        <v>1.7384500000000001</v>
      </c>
      <c r="H399" s="145">
        <v>1.6682999999999999</v>
      </c>
      <c r="I399" s="145">
        <v>1.6513199999999999</v>
      </c>
    </row>
    <row r="400" spans="1:9" x14ac:dyDescent="0.25">
      <c r="A400" s="146" t="s">
        <v>191</v>
      </c>
      <c r="B400" s="144">
        <v>44039</v>
      </c>
      <c r="C400" s="144">
        <v>44045</v>
      </c>
      <c r="D400" s="145">
        <v>1.6981999999999999</v>
      </c>
      <c r="E400" s="145">
        <v>1.6895</v>
      </c>
      <c r="F400" s="145" t="s">
        <v>192</v>
      </c>
      <c r="G400" s="145">
        <v>1.7315700000000001</v>
      </c>
      <c r="H400" s="145">
        <v>1.69808</v>
      </c>
      <c r="I400" s="145">
        <v>1.69869</v>
      </c>
    </row>
    <row r="401" spans="1:9" x14ac:dyDescent="0.25">
      <c r="A401" s="146" t="s">
        <v>191</v>
      </c>
      <c r="B401" s="144">
        <v>44046</v>
      </c>
      <c r="C401" s="144">
        <v>44052</v>
      </c>
      <c r="D401" s="145">
        <v>1.7783800000000001</v>
      </c>
      <c r="E401" s="145">
        <v>1.7927200000000001</v>
      </c>
      <c r="F401" s="145" t="s">
        <v>192</v>
      </c>
      <c r="G401" s="145" t="s">
        <v>192</v>
      </c>
      <c r="H401" s="145">
        <v>1.87154</v>
      </c>
      <c r="I401" s="145">
        <v>1.8434999999999999</v>
      </c>
    </row>
    <row r="402" spans="1:9" x14ac:dyDescent="0.25">
      <c r="A402" s="146" t="s">
        <v>191</v>
      </c>
      <c r="B402" s="144">
        <v>44053</v>
      </c>
      <c r="C402" s="144">
        <v>44059</v>
      </c>
      <c r="D402" s="145">
        <v>1.7983800000000001</v>
      </c>
      <c r="E402" s="145">
        <v>1.76119</v>
      </c>
      <c r="F402" s="145" t="s">
        <v>192</v>
      </c>
      <c r="G402" s="145">
        <v>1.9365000000000001</v>
      </c>
      <c r="H402" s="145">
        <v>1.8656999999999999</v>
      </c>
      <c r="I402" s="145">
        <v>1.8495299999999999</v>
      </c>
    </row>
    <row r="403" spans="1:9" x14ac:dyDescent="0.25">
      <c r="A403" s="146" t="s">
        <v>191</v>
      </c>
      <c r="B403" s="144">
        <v>44060</v>
      </c>
      <c r="C403" s="144">
        <v>44066</v>
      </c>
      <c r="D403" s="145">
        <v>1.7927999999999999</v>
      </c>
      <c r="E403" s="145">
        <v>1.7800800000000001</v>
      </c>
      <c r="F403" s="145" t="s">
        <v>192</v>
      </c>
      <c r="G403" s="145">
        <v>1.9140600000000001</v>
      </c>
      <c r="H403" s="145">
        <v>1.86998</v>
      </c>
      <c r="I403" s="145">
        <v>1.8448199999999999</v>
      </c>
    </row>
    <row r="404" spans="1:9" x14ac:dyDescent="0.25">
      <c r="A404" s="146" t="s">
        <v>191</v>
      </c>
      <c r="B404" s="144">
        <v>44067</v>
      </c>
      <c r="C404" s="144">
        <v>44073</v>
      </c>
      <c r="D404" s="145">
        <v>1.7983100000000001</v>
      </c>
      <c r="E404" s="145">
        <v>1.8181099999999999</v>
      </c>
      <c r="F404" s="145" t="s">
        <v>192</v>
      </c>
      <c r="G404" s="145">
        <v>1.9224300000000001</v>
      </c>
      <c r="H404" s="145">
        <v>1.8656299999999999</v>
      </c>
      <c r="I404" s="145">
        <v>1.8613999999999999</v>
      </c>
    </row>
    <row r="405" spans="1:9" x14ac:dyDescent="0.25">
      <c r="A405" s="146" t="s">
        <v>191</v>
      </c>
      <c r="B405" s="144">
        <v>44074</v>
      </c>
      <c r="C405" s="144">
        <v>44080</v>
      </c>
      <c r="D405" s="145">
        <v>1.8835</v>
      </c>
      <c r="E405" s="145">
        <v>1.8942600000000001</v>
      </c>
      <c r="F405" s="145" t="s">
        <v>192</v>
      </c>
      <c r="G405" s="145" t="s">
        <v>192</v>
      </c>
      <c r="H405" s="145">
        <v>1.9736100000000001</v>
      </c>
      <c r="I405" s="145">
        <v>1.95906</v>
      </c>
    </row>
    <row r="406" spans="1:9" x14ac:dyDescent="0.25">
      <c r="A406" s="146" t="s">
        <v>191</v>
      </c>
      <c r="B406" s="144">
        <v>44081</v>
      </c>
      <c r="C406" s="144">
        <v>44087</v>
      </c>
      <c r="D406" s="145">
        <v>1.8809899999999999</v>
      </c>
      <c r="E406" s="145">
        <v>1.8627</v>
      </c>
      <c r="F406" s="145" t="s">
        <v>192</v>
      </c>
      <c r="G406" s="145">
        <v>2.16276</v>
      </c>
      <c r="H406" s="145">
        <v>1.99996</v>
      </c>
      <c r="I406" s="145">
        <v>1.9630300000000001</v>
      </c>
    </row>
    <row r="407" spans="1:9" x14ac:dyDescent="0.25">
      <c r="A407" s="146" t="s">
        <v>191</v>
      </c>
      <c r="B407" s="144">
        <v>44088</v>
      </c>
      <c r="C407" s="144">
        <v>44094</v>
      </c>
      <c r="D407" s="145">
        <v>1.8725400000000001</v>
      </c>
      <c r="E407" s="145">
        <v>1.90595</v>
      </c>
      <c r="F407" s="145" t="s">
        <v>192</v>
      </c>
      <c r="G407" s="145">
        <v>2.29352</v>
      </c>
      <c r="H407" s="145">
        <v>2.00041</v>
      </c>
      <c r="I407" s="145">
        <v>1.9949600000000001</v>
      </c>
    </row>
    <row r="408" spans="1:9" x14ac:dyDescent="0.25">
      <c r="A408" s="146" t="s">
        <v>191</v>
      </c>
      <c r="B408" s="144">
        <v>44095</v>
      </c>
      <c r="C408" s="144">
        <v>44101</v>
      </c>
      <c r="D408" s="145" t="s">
        <v>192</v>
      </c>
      <c r="E408" s="145">
        <v>1.8547499999999999</v>
      </c>
      <c r="F408" s="145" t="s">
        <v>192</v>
      </c>
      <c r="G408" s="145">
        <v>2.0329999999999999</v>
      </c>
      <c r="H408" s="145">
        <v>1.96469</v>
      </c>
      <c r="I408" s="145">
        <v>1.95611</v>
      </c>
    </row>
    <row r="409" spans="1:9" x14ac:dyDescent="0.25">
      <c r="A409" s="146" t="s">
        <v>191</v>
      </c>
      <c r="B409" s="144">
        <v>44102</v>
      </c>
      <c r="C409" s="144">
        <v>44108</v>
      </c>
      <c r="D409" s="145">
        <v>1.77051</v>
      </c>
      <c r="E409" s="145">
        <v>1.7859400000000001</v>
      </c>
      <c r="F409" s="145" t="s">
        <v>192</v>
      </c>
      <c r="G409" s="145">
        <v>1.9282999999999999</v>
      </c>
      <c r="H409" s="145">
        <v>1.87405</v>
      </c>
      <c r="I409" s="145">
        <v>1.8502799999999999</v>
      </c>
    </row>
    <row r="410" spans="1:9" x14ac:dyDescent="0.25">
      <c r="A410" s="146" t="s">
        <v>191</v>
      </c>
      <c r="B410" s="144">
        <v>44109</v>
      </c>
      <c r="C410" s="144">
        <v>44115</v>
      </c>
      <c r="D410" s="145">
        <v>1.7748699999999999</v>
      </c>
      <c r="E410" s="145">
        <v>1.75928</v>
      </c>
      <c r="F410" s="145" t="s">
        <v>192</v>
      </c>
      <c r="G410" s="145">
        <v>1.8905000000000001</v>
      </c>
      <c r="H410" s="145">
        <v>1.8512500000000001</v>
      </c>
      <c r="I410" s="145">
        <v>1.83884</v>
      </c>
    </row>
    <row r="411" spans="1:9" x14ac:dyDescent="0.25">
      <c r="A411" s="146" t="s">
        <v>191</v>
      </c>
      <c r="B411" s="144">
        <v>44116</v>
      </c>
      <c r="C411" s="144">
        <v>44122</v>
      </c>
      <c r="D411" s="145">
        <v>1.77</v>
      </c>
      <c r="E411" s="145">
        <v>1.8003499999999999</v>
      </c>
      <c r="F411" s="145" t="s">
        <v>192</v>
      </c>
      <c r="G411" s="145">
        <v>1.8960999999999999</v>
      </c>
      <c r="H411" s="145">
        <v>1.8489899999999999</v>
      </c>
      <c r="I411" s="145">
        <v>1.84189</v>
      </c>
    </row>
    <row r="412" spans="1:9" x14ac:dyDescent="0.25">
      <c r="A412" s="146" t="s">
        <v>191</v>
      </c>
      <c r="B412" s="144">
        <v>44123</v>
      </c>
      <c r="C412" s="144">
        <v>44129</v>
      </c>
      <c r="D412" s="145">
        <v>1.7694399999999999</v>
      </c>
      <c r="E412" s="145">
        <v>1.83579</v>
      </c>
      <c r="F412" s="145" t="s">
        <v>192</v>
      </c>
      <c r="G412" s="145">
        <v>1.9115599999999999</v>
      </c>
      <c r="H412" s="145">
        <v>1.85057</v>
      </c>
      <c r="I412" s="145">
        <v>1.8456900000000001</v>
      </c>
    </row>
    <row r="413" spans="1:9" x14ac:dyDescent="0.25">
      <c r="A413" s="146" t="s">
        <v>191</v>
      </c>
      <c r="B413" s="144">
        <v>44130</v>
      </c>
      <c r="C413" s="144">
        <v>44136</v>
      </c>
      <c r="D413" s="145">
        <v>1.75187</v>
      </c>
      <c r="E413" s="145">
        <v>1.77752</v>
      </c>
      <c r="F413" s="145" t="s">
        <v>192</v>
      </c>
      <c r="G413" s="145">
        <v>1.90696</v>
      </c>
      <c r="H413" s="145">
        <v>1.86354</v>
      </c>
      <c r="I413" s="145">
        <v>1.8419000000000001</v>
      </c>
    </row>
    <row r="414" spans="1:9" x14ac:dyDescent="0.25">
      <c r="A414" s="146" t="s">
        <v>191</v>
      </c>
      <c r="B414" s="144">
        <v>44137</v>
      </c>
      <c r="C414" s="144">
        <v>44143</v>
      </c>
      <c r="D414" s="145">
        <v>1.8214399999999999</v>
      </c>
      <c r="E414" s="145">
        <v>1.8435999999999999</v>
      </c>
      <c r="F414" s="145" t="s">
        <v>192</v>
      </c>
      <c r="G414" s="145">
        <v>1.9619200000000001</v>
      </c>
      <c r="H414" s="145">
        <v>1.91449</v>
      </c>
      <c r="I414" s="145">
        <v>1.9011400000000001</v>
      </c>
    </row>
    <row r="415" spans="1:9" x14ac:dyDescent="0.25">
      <c r="A415" s="146" t="s">
        <v>191</v>
      </c>
      <c r="B415" s="144">
        <v>44144</v>
      </c>
      <c r="C415" s="144">
        <v>44150</v>
      </c>
      <c r="D415" s="145">
        <v>1.8270999999999999</v>
      </c>
      <c r="E415" s="145">
        <v>1.82542</v>
      </c>
      <c r="F415" s="145" t="s">
        <v>192</v>
      </c>
      <c r="G415" s="145">
        <v>1.96814</v>
      </c>
      <c r="H415" s="145">
        <v>1.9008499999999999</v>
      </c>
      <c r="I415" s="145">
        <v>1.8816900000000001</v>
      </c>
    </row>
    <row r="416" spans="1:9" x14ac:dyDescent="0.25">
      <c r="A416" s="146" t="s">
        <v>191</v>
      </c>
      <c r="B416" s="144">
        <v>44151</v>
      </c>
      <c r="C416" s="144">
        <v>44157</v>
      </c>
      <c r="D416" s="145">
        <v>1.8270999999999999</v>
      </c>
      <c r="E416" s="145">
        <v>1.8346100000000001</v>
      </c>
      <c r="F416" s="145" t="s">
        <v>192</v>
      </c>
      <c r="G416" s="145">
        <v>1.95346</v>
      </c>
      <c r="H416" s="145">
        <v>1.9066000000000001</v>
      </c>
      <c r="I416" s="145">
        <v>1.9019699999999999</v>
      </c>
    </row>
    <row r="417" spans="1:9" x14ac:dyDescent="0.25">
      <c r="A417" s="146" t="s">
        <v>191</v>
      </c>
      <c r="B417" s="144">
        <v>44158</v>
      </c>
      <c r="C417" s="144">
        <v>44164</v>
      </c>
      <c r="D417" s="145">
        <v>1.83596</v>
      </c>
      <c r="E417" s="145">
        <v>1.84413</v>
      </c>
      <c r="F417" s="145" t="s">
        <v>192</v>
      </c>
      <c r="G417" s="145">
        <v>1.95025</v>
      </c>
      <c r="H417" s="145">
        <v>1.8995599999999999</v>
      </c>
      <c r="I417" s="145">
        <v>1.87645</v>
      </c>
    </row>
    <row r="418" spans="1:9" x14ac:dyDescent="0.25">
      <c r="A418" s="146" t="s">
        <v>191</v>
      </c>
      <c r="B418" s="144">
        <v>44165</v>
      </c>
      <c r="C418" s="144">
        <v>44171</v>
      </c>
      <c r="D418" s="145">
        <v>1.84284</v>
      </c>
      <c r="E418" s="145">
        <v>1.8427899999999999</v>
      </c>
      <c r="F418" s="145" t="s">
        <v>192</v>
      </c>
      <c r="G418" s="145">
        <v>2.16046</v>
      </c>
      <c r="H418" s="145">
        <v>1.91215</v>
      </c>
      <c r="I418" s="145">
        <v>1.9043099999999999</v>
      </c>
    </row>
    <row r="419" spans="1:9" x14ac:dyDescent="0.25">
      <c r="A419" s="146" t="s">
        <v>191</v>
      </c>
      <c r="B419" s="144">
        <v>44172</v>
      </c>
      <c r="C419" s="144">
        <v>44178</v>
      </c>
      <c r="D419" s="145">
        <v>1.81993</v>
      </c>
      <c r="E419" s="145">
        <v>1.82748</v>
      </c>
      <c r="F419" s="145" t="s">
        <v>192</v>
      </c>
      <c r="G419" s="145">
        <v>2.06067</v>
      </c>
      <c r="H419" s="145">
        <v>1.91171</v>
      </c>
      <c r="I419" s="145">
        <v>1.8968799999999999</v>
      </c>
    </row>
    <row r="420" spans="1:9" x14ac:dyDescent="0.25">
      <c r="A420" s="146" t="s">
        <v>191</v>
      </c>
      <c r="B420" s="144">
        <v>44179</v>
      </c>
      <c r="C420" s="144">
        <v>44185</v>
      </c>
      <c r="D420" s="145">
        <v>1.8379000000000001</v>
      </c>
      <c r="E420" s="145">
        <v>1.8635900000000001</v>
      </c>
      <c r="F420" s="145" t="s">
        <v>192</v>
      </c>
      <c r="G420" s="145">
        <v>2.0911499999999998</v>
      </c>
      <c r="H420" s="145">
        <v>1.92388</v>
      </c>
      <c r="I420" s="145">
        <v>1.9165099999999999</v>
      </c>
    </row>
    <row r="421" spans="1:9" x14ac:dyDescent="0.25">
      <c r="A421" s="146" t="s">
        <v>191</v>
      </c>
      <c r="B421" s="144">
        <v>44186</v>
      </c>
      <c r="C421" s="144">
        <v>44192</v>
      </c>
      <c r="D421" s="145">
        <v>1.8277699999999999</v>
      </c>
      <c r="E421" s="145">
        <v>1.8480799999999999</v>
      </c>
      <c r="F421" s="145" t="s">
        <v>192</v>
      </c>
      <c r="G421" s="145">
        <v>1.96062</v>
      </c>
      <c r="H421" s="145">
        <v>1.9149099999999999</v>
      </c>
      <c r="I421" s="145">
        <v>1.89591</v>
      </c>
    </row>
    <row r="422" spans="1:9" x14ac:dyDescent="0.25">
      <c r="A422" s="146" t="s">
        <v>191</v>
      </c>
      <c r="B422" s="144">
        <v>44193</v>
      </c>
      <c r="C422" s="144">
        <v>44199</v>
      </c>
      <c r="D422" s="145">
        <v>1.89229</v>
      </c>
      <c r="E422" s="145">
        <v>1.9589799999999999</v>
      </c>
      <c r="F422" s="145" t="s">
        <v>192</v>
      </c>
      <c r="G422" s="145">
        <v>2.1050599999999999</v>
      </c>
      <c r="H422" s="145">
        <v>2.0157699999999998</v>
      </c>
      <c r="I422" s="145">
        <v>1.99855</v>
      </c>
    </row>
    <row r="423" spans="1:9" x14ac:dyDescent="0.25">
      <c r="A423" s="146" t="s">
        <v>191</v>
      </c>
      <c r="B423" s="144">
        <v>44200</v>
      </c>
      <c r="C423" s="144">
        <v>44206</v>
      </c>
      <c r="D423" s="145">
        <v>2.0438100000000001</v>
      </c>
      <c r="E423" s="145">
        <v>2.0462699999999998</v>
      </c>
      <c r="F423" s="145" t="s">
        <v>192</v>
      </c>
      <c r="G423" s="145">
        <v>2.16493</v>
      </c>
      <c r="H423" s="145">
        <v>2.1218499999999998</v>
      </c>
      <c r="I423" s="145">
        <v>2.1027300000000002</v>
      </c>
    </row>
    <row r="424" spans="1:9" x14ac:dyDescent="0.25">
      <c r="A424" s="146" t="s">
        <v>191</v>
      </c>
      <c r="B424" s="144">
        <v>44207</v>
      </c>
      <c r="C424" s="144">
        <v>44213</v>
      </c>
      <c r="D424" s="145">
        <v>2.0548199999999999</v>
      </c>
      <c r="E424" s="145">
        <v>2.0785900000000002</v>
      </c>
      <c r="F424" s="145" t="s">
        <v>192</v>
      </c>
      <c r="G424" s="145">
        <v>2.1766800000000002</v>
      </c>
      <c r="H424" s="145">
        <v>2.1258900000000001</v>
      </c>
      <c r="I424" s="145">
        <v>2.1104099999999999</v>
      </c>
    </row>
    <row r="425" spans="1:9" x14ac:dyDescent="0.25">
      <c r="A425" s="146" t="s">
        <v>191</v>
      </c>
      <c r="B425" s="144">
        <v>44214</v>
      </c>
      <c r="C425" s="144">
        <v>44220</v>
      </c>
      <c r="D425" s="145">
        <v>2.0426500000000001</v>
      </c>
      <c r="E425" s="145">
        <v>2.0640499999999999</v>
      </c>
      <c r="F425" s="145" t="s">
        <v>192</v>
      </c>
      <c r="G425" s="145">
        <v>2.1717900000000001</v>
      </c>
      <c r="H425" s="145">
        <v>2.13341</v>
      </c>
      <c r="I425" s="145">
        <v>2.1122700000000001</v>
      </c>
    </row>
    <row r="426" spans="1:9" x14ac:dyDescent="0.25">
      <c r="A426" s="146" t="s">
        <v>191</v>
      </c>
      <c r="B426" s="144">
        <v>44221</v>
      </c>
      <c r="C426" s="144">
        <v>44227</v>
      </c>
      <c r="D426" s="145">
        <v>2.0523400000000001</v>
      </c>
      <c r="E426" s="145">
        <v>2.1206499999999999</v>
      </c>
      <c r="F426" s="145" t="s">
        <v>192</v>
      </c>
      <c r="G426" s="145">
        <v>2.1752199999999999</v>
      </c>
      <c r="H426" s="145">
        <v>2.1368900000000002</v>
      </c>
      <c r="I426" s="145">
        <v>2.12852</v>
      </c>
    </row>
    <row r="427" spans="1:9" x14ac:dyDescent="0.25">
      <c r="A427" s="146" t="s">
        <v>191</v>
      </c>
      <c r="B427" s="144">
        <v>44228</v>
      </c>
      <c r="C427" s="144">
        <v>44234</v>
      </c>
      <c r="D427" s="145">
        <v>2.1940200000000001</v>
      </c>
      <c r="E427" s="145">
        <v>2.2446899999999999</v>
      </c>
      <c r="F427" s="145" t="s">
        <v>192</v>
      </c>
      <c r="G427" s="145">
        <v>2.3428100000000001</v>
      </c>
      <c r="H427" s="145">
        <v>2.3033199999999998</v>
      </c>
      <c r="I427" s="145">
        <v>2.2932800000000002</v>
      </c>
    </row>
    <row r="428" spans="1:9" x14ac:dyDescent="0.25">
      <c r="A428" s="146" t="s">
        <v>191</v>
      </c>
      <c r="B428" s="144">
        <v>44235</v>
      </c>
      <c r="C428" s="144">
        <v>44241</v>
      </c>
      <c r="D428" s="145">
        <v>2.2256300000000002</v>
      </c>
      <c r="E428" s="145">
        <v>2.2291400000000001</v>
      </c>
      <c r="F428" s="145" t="s">
        <v>192</v>
      </c>
      <c r="G428" s="145">
        <v>2.3430800000000001</v>
      </c>
      <c r="H428" s="145">
        <v>2.3031600000000001</v>
      </c>
      <c r="I428" s="145">
        <v>2.2746200000000001</v>
      </c>
    </row>
    <row r="429" spans="1:9" x14ac:dyDescent="0.25">
      <c r="A429" s="146" t="s">
        <v>191</v>
      </c>
      <c r="B429" s="144">
        <v>44242</v>
      </c>
      <c r="C429" s="144">
        <v>44248</v>
      </c>
      <c r="D429" s="145">
        <v>2.2016200000000001</v>
      </c>
      <c r="E429" s="145">
        <v>2.2380399999999998</v>
      </c>
      <c r="F429" s="145" t="s">
        <v>192</v>
      </c>
      <c r="G429" s="145">
        <v>2.3541699999999999</v>
      </c>
      <c r="H429" s="145">
        <v>2.3071100000000002</v>
      </c>
      <c r="I429" s="145">
        <v>2.29304</v>
      </c>
    </row>
    <row r="430" spans="1:9" x14ac:dyDescent="0.25">
      <c r="A430" s="146" t="s">
        <v>191</v>
      </c>
      <c r="B430" s="144">
        <v>44249</v>
      </c>
      <c r="C430" s="144">
        <v>44255</v>
      </c>
      <c r="D430" s="145">
        <v>2.2216499999999999</v>
      </c>
      <c r="E430" s="145">
        <v>2.2058</v>
      </c>
      <c r="F430" s="145" t="s">
        <v>192</v>
      </c>
      <c r="G430" s="145">
        <v>2.3423500000000002</v>
      </c>
      <c r="H430" s="145">
        <v>2.3060499999999999</v>
      </c>
      <c r="I430" s="145">
        <v>2.27895</v>
      </c>
    </row>
    <row r="431" spans="1:9" x14ac:dyDescent="0.25">
      <c r="A431" s="146" t="s">
        <v>191</v>
      </c>
      <c r="B431" s="144">
        <v>44256</v>
      </c>
      <c r="C431" s="144">
        <v>44262</v>
      </c>
      <c r="D431" s="145">
        <v>2.4670999999999998</v>
      </c>
      <c r="E431" s="145">
        <v>2.45506</v>
      </c>
      <c r="F431" s="145" t="s">
        <v>192</v>
      </c>
      <c r="G431" s="145">
        <v>2.5855299999999999</v>
      </c>
      <c r="H431" s="145">
        <v>2.5496799999999999</v>
      </c>
      <c r="I431" s="145">
        <v>2.5383</v>
      </c>
    </row>
    <row r="432" spans="1:9" x14ac:dyDescent="0.25">
      <c r="A432" s="146" t="s">
        <v>191</v>
      </c>
      <c r="B432" s="144">
        <v>44263</v>
      </c>
      <c r="C432" s="144">
        <v>44269</v>
      </c>
      <c r="D432" s="145">
        <v>2.4757400000000001</v>
      </c>
      <c r="E432" s="145">
        <v>2.46454</v>
      </c>
      <c r="F432" s="145" t="s">
        <v>192</v>
      </c>
      <c r="G432" s="145">
        <v>2.5949499999999999</v>
      </c>
      <c r="H432" s="145">
        <v>2.5582500000000001</v>
      </c>
      <c r="I432" s="145">
        <v>2.52698</v>
      </c>
    </row>
    <row r="433" spans="1:9" x14ac:dyDescent="0.25">
      <c r="A433" s="146" t="s">
        <v>191</v>
      </c>
      <c r="B433" s="144">
        <v>44270</v>
      </c>
      <c r="C433" s="144">
        <v>44276</v>
      </c>
      <c r="D433" s="145">
        <v>2.4670999999999998</v>
      </c>
      <c r="E433" s="145">
        <v>2.49316</v>
      </c>
      <c r="F433" s="145" t="s">
        <v>192</v>
      </c>
      <c r="G433" s="145">
        <v>2.59443</v>
      </c>
      <c r="H433" s="145">
        <v>2.5493399999999999</v>
      </c>
      <c r="I433" s="145">
        <v>2.5426199999999999</v>
      </c>
    </row>
    <row r="434" spans="1:9" x14ac:dyDescent="0.25">
      <c r="A434" s="146" t="s">
        <v>191</v>
      </c>
      <c r="B434" s="144">
        <v>44277</v>
      </c>
      <c r="C434" s="144">
        <v>44283</v>
      </c>
      <c r="D434" s="145">
        <v>2.4777800000000001</v>
      </c>
      <c r="E434" s="145">
        <v>2.46556</v>
      </c>
      <c r="F434" s="145" t="s">
        <v>192</v>
      </c>
      <c r="G434" s="145">
        <v>2.6007600000000002</v>
      </c>
      <c r="H434" s="145">
        <v>2.55721</v>
      </c>
      <c r="I434" s="145">
        <v>2.5295700000000001</v>
      </c>
    </row>
    <row r="435" spans="1:9" x14ac:dyDescent="0.25">
      <c r="A435" s="146" t="s">
        <v>191</v>
      </c>
      <c r="B435" s="144">
        <v>44284</v>
      </c>
      <c r="C435" s="144">
        <v>44290</v>
      </c>
      <c r="D435" s="145">
        <v>2.7648000000000001</v>
      </c>
      <c r="E435" s="145">
        <v>2.5565699999999998</v>
      </c>
      <c r="F435" s="145" t="s">
        <v>192</v>
      </c>
      <c r="G435" s="145">
        <v>2.5996800000000002</v>
      </c>
      <c r="H435" s="145">
        <v>2.6678000000000002</v>
      </c>
      <c r="I435" s="145">
        <v>2.6560700000000002</v>
      </c>
    </row>
    <row r="436" spans="1:9" x14ac:dyDescent="0.25">
      <c r="A436" s="146" t="s">
        <v>191</v>
      </c>
      <c r="B436" s="144">
        <v>44291</v>
      </c>
      <c r="C436" s="144">
        <v>44297</v>
      </c>
      <c r="D436" s="145">
        <v>2.75847</v>
      </c>
      <c r="E436" s="145">
        <v>2.7482500000000001</v>
      </c>
      <c r="F436" s="145" t="s">
        <v>192</v>
      </c>
      <c r="G436" s="145">
        <v>2.8864200000000002</v>
      </c>
      <c r="H436" s="145">
        <v>2.8181400000000001</v>
      </c>
      <c r="I436" s="145">
        <v>2.8090000000000002</v>
      </c>
    </row>
    <row r="437" spans="1:9" x14ac:dyDescent="0.25">
      <c r="A437" s="146" t="s">
        <v>191</v>
      </c>
      <c r="B437" s="144">
        <v>44298</v>
      </c>
      <c r="C437" s="144">
        <v>44304</v>
      </c>
      <c r="D437" s="145">
        <v>2.7491300000000001</v>
      </c>
      <c r="E437" s="145">
        <v>2.7917900000000002</v>
      </c>
      <c r="F437" s="145" t="s">
        <v>192</v>
      </c>
      <c r="G437" s="145">
        <v>2.8834</v>
      </c>
      <c r="H437" s="145">
        <v>2.8391000000000002</v>
      </c>
      <c r="I437" s="145">
        <v>2.8354599999999999</v>
      </c>
    </row>
    <row r="438" spans="1:9" x14ac:dyDescent="0.25">
      <c r="A438" s="146" t="s">
        <v>191</v>
      </c>
      <c r="B438" s="144">
        <v>44305</v>
      </c>
      <c r="C438" s="144">
        <v>44311</v>
      </c>
      <c r="D438" s="145">
        <v>2.7625000000000002</v>
      </c>
      <c r="E438" s="145">
        <v>2.7518199999999999</v>
      </c>
      <c r="F438" s="145" t="s">
        <v>192</v>
      </c>
      <c r="G438" s="145">
        <v>2.8834</v>
      </c>
      <c r="H438" s="145">
        <v>2.8321299999999998</v>
      </c>
      <c r="I438" s="145">
        <v>2.8177699999999999</v>
      </c>
    </row>
    <row r="439" spans="1:9" x14ac:dyDescent="0.25">
      <c r="A439" s="146" t="s">
        <v>191</v>
      </c>
      <c r="B439" s="144">
        <v>44312</v>
      </c>
      <c r="C439" s="144">
        <v>44318</v>
      </c>
      <c r="D439" s="145">
        <v>2.7163499999999998</v>
      </c>
      <c r="E439" s="145">
        <v>2.7265299999999999</v>
      </c>
      <c r="F439" s="145" t="s">
        <v>192</v>
      </c>
      <c r="G439" s="145">
        <v>2.85507</v>
      </c>
      <c r="H439" s="145">
        <v>2.7977400000000001</v>
      </c>
      <c r="I439" s="145">
        <v>2.7917999999999998</v>
      </c>
    </row>
    <row r="440" spans="1:9" x14ac:dyDescent="0.25">
      <c r="A440" s="146" t="s">
        <v>191</v>
      </c>
      <c r="B440" s="144">
        <v>44319</v>
      </c>
      <c r="C440" s="144">
        <v>44325</v>
      </c>
      <c r="D440" s="145">
        <v>2.6953100000000001</v>
      </c>
      <c r="E440" s="145">
        <v>2.7169500000000002</v>
      </c>
      <c r="F440" s="145" t="s">
        <v>192</v>
      </c>
      <c r="G440" s="145">
        <v>2.8191999999999999</v>
      </c>
      <c r="H440" s="145">
        <v>2.7709800000000002</v>
      </c>
      <c r="I440" s="145">
        <v>2.7542200000000001</v>
      </c>
    </row>
    <row r="441" spans="1:9" x14ac:dyDescent="0.25">
      <c r="A441" s="146" t="s">
        <v>191</v>
      </c>
      <c r="B441" s="144">
        <v>44326</v>
      </c>
      <c r="C441" s="144">
        <v>44332</v>
      </c>
      <c r="D441" s="145">
        <v>2.7135099999999999</v>
      </c>
      <c r="E441" s="145">
        <v>2.7252900000000002</v>
      </c>
      <c r="F441" s="145" t="s">
        <v>192</v>
      </c>
      <c r="G441" s="145">
        <v>2.82965</v>
      </c>
      <c r="H441" s="145">
        <v>2.77163</v>
      </c>
      <c r="I441" s="145">
        <v>2.76729</v>
      </c>
    </row>
    <row r="442" spans="1:9" x14ac:dyDescent="0.25">
      <c r="A442" s="146" t="s">
        <v>191</v>
      </c>
      <c r="B442" s="144">
        <v>44333</v>
      </c>
      <c r="C442" s="144">
        <v>44339</v>
      </c>
      <c r="D442" s="145">
        <v>2.69035</v>
      </c>
      <c r="E442" s="145">
        <v>2.6964299999999999</v>
      </c>
      <c r="F442" s="145" t="s">
        <v>192</v>
      </c>
      <c r="G442" s="145">
        <v>2.8334999999999999</v>
      </c>
      <c r="H442" s="145">
        <v>2.7773500000000002</v>
      </c>
      <c r="I442" s="145">
        <v>2.7592599999999998</v>
      </c>
    </row>
    <row r="443" spans="1:9" x14ac:dyDescent="0.25">
      <c r="A443" s="146" t="s">
        <v>191</v>
      </c>
      <c r="B443" s="144">
        <v>44340</v>
      </c>
      <c r="C443" s="144">
        <v>44346</v>
      </c>
      <c r="D443" s="145">
        <v>2.7021700000000002</v>
      </c>
      <c r="E443" s="145">
        <v>2.7224599999999999</v>
      </c>
      <c r="F443" s="145" t="s">
        <v>192</v>
      </c>
      <c r="G443" s="145">
        <v>2.8210999999999999</v>
      </c>
      <c r="H443" s="145">
        <v>2.7889400000000002</v>
      </c>
      <c r="I443" s="145">
        <v>2.78348</v>
      </c>
    </row>
    <row r="444" spans="1:9" x14ac:dyDescent="0.25">
      <c r="A444" s="146" t="s">
        <v>191</v>
      </c>
      <c r="B444" s="144">
        <v>44347</v>
      </c>
      <c r="C444" s="144">
        <v>44353</v>
      </c>
      <c r="D444" s="145">
        <v>2.7117300000000002</v>
      </c>
      <c r="E444" s="145">
        <v>2.6880600000000001</v>
      </c>
      <c r="F444" s="145" t="s">
        <v>192</v>
      </c>
      <c r="G444" s="145">
        <v>2.8382399999999999</v>
      </c>
      <c r="H444" s="145">
        <v>2.7934600000000001</v>
      </c>
      <c r="I444" s="145">
        <v>2.78409</v>
      </c>
    </row>
    <row r="445" spans="1:9" x14ac:dyDescent="0.25">
      <c r="A445" s="146" t="s">
        <v>191</v>
      </c>
      <c r="B445" s="144">
        <v>44354</v>
      </c>
      <c r="C445" s="144">
        <v>44360</v>
      </c>
      <c r="D445" s="145">
        <v>2.6985899999999998</v>
      </c>
      <c r="E445" s="145">
        <v>2.7246999999999999</v>
      </c>
      <c r="F445" s="145" t="s">
        <v>192</v>
      </c>
      <c r="G445" s="145">
        <v>2.84979</v>
      </c>
      <c r="H445" s="145">
        <v>2.7976399999999999</v>
      </c>
      <c r="I445" s="145">
        <v>2.7770700000000001</v>
      </c>
    </row>
    <row r="446" spans="1:9" x14ac:dyDescent="0.25">
      <c r="A446" s="146" t="s">
        <v>191</v>
      </c>
      <c r="B446" s="144">
        <v>44361</v>
      </c>
      <c r="C446" s="144">
        <v>44367</v>
      </c>
      <c r="D446" s="145">
        <v>2.7268400000000002</v>
      </c>
      <c r="E446" s="145">
        <v>2.7329300000000001</v>
      </c>
      <c r="F446" s="145" t="s">
        <v>192</v>
      </c>
      <c r="G446" s="145">
        <v>2.8408000000000002</v>
      </c>
      <c r="H446" s="145">
        <v>2.8025699999999998</v>
      </c>
      <c r="I446" s="145">
        <v>2.7900499999999999</v>
      </c>
    </row>
    <row r="447" spans="1:9" x14ac:dyDescent="0.25">
      <c r="A447" s="146" t="s">
        <v>191</v>
      </c>
      <c r="B447" s="144">
        <v>44368</v>
      </c>
      <c r="C447" s="144">
        <v>44374</v>
      </c>
      <c r="D447" s="145">
        <v>2.70085</v>
      </c>
      <c r="E447" s="145">
        <v>2.7255400000000001</v>
      </c>
      <c r="F447" s="145" t="s">
        <v>192</v>
      </c>
      <c r="G447" s="145">
        <v>2.8499699999999999</v>
      </c>
      <c r="H447" s="145">
        <v>2.81182</v>
      </c>
      <c r="I447" s="145">
        <v>2.78647</v>
      </c>
    </row>
    <row r="448" spans="1:9" x14ac:dyDescent="0.25">
      <c r="A448" s="146" t="s">
        <v>191</v>
      </c>
      <c r="B448" s="144">
        <v>44375</v>
      </c>
      <c r="C448" s="144">
        <v>44381</v>
      </c>
      <c r="D448" s="145">
        <v>2.73847</v>
      </c>
      <c r="E448" s="145">
        <v>2.7581799999999999</v>
      </c>
      <c r="F448" s="145" t="s">
        <v>192</v>
      </c>
      <c r="G448" s="145">
        <v>2.8787600000000002</v>
      </c>
      <c r="H448" s="145">
        <v>2.8142200000000002</v>
      </c>
      <c r="I448" s="145">
        <v>2.80966</v>
      </c>
    </row>
    <row r="449" spans="1:9" x14ac:dyDescent="0.25">
      <c r="A449" s="146" t="s">
        <v>191</v>
      </c>
      <c r="B449" s="144">
        <v>44382</v>
      </c>
      <c r="C449" s="144">
        <v>44388</v>
      </c>
      <c r="D449" s="145">
        <v>2.75285</v>
      </c>
      <c r="E449" s="145">
        <v>2.7322199999999999</v>
      </c>
      <c r="F449" s="145" t="s">
        <v>192</v>
      </c>
      <c r="G449" s="145">
        <v>2.8664299999999998</v>
      </c>
      <c r="H449" s="145">
        <v>2.8222900000000002</v>
      </c>
      <c r="I449" s="145">
        <v>2.7996099999999999</v>
      </c>
    </row>
    <row r="450" spans="1:9" x14ac:dyDescent="0.25">
      <c r="A450" s="146" t="s">
        <v>191</v>
      </c>
      <c r="B450" s="144">
        <v>44389</v>
      </c>
      <c r="C450" s="144">
        <v>44395</v>
      </c>
      <c r="D450" s="145">
        <v>2.72851</v>
      </c>
      <c r="E450" s="145">
        <v>2.7452399999999999</v>
      </c>
      <c r="F450" s="145" t="s">
        <v>192</v>
      </c>
      <c r="G450" s="145">
        <v>2.8777400000000002</v>
      </c>
      <c r="H450" s="145">
        <v>2.8368000000000002</v>
      </c>
      <c r="I450" s="145">
        <v>2.8178200000000002</v>
      </c>
    </row>
    <row r="451" spans="1:9" x14ac:dyDescent="0.25">
      <c r="A451" s="146" t="s">
        <v>191</v>
      </c>
      <c r="B451" s="144">
        <v>44396</v>
      </c>
      <c r="C451" s="144">
        <v>44402</v>
      </c>
      <c r="D451" s="145">
        <v>2.7614000000000001</v>
      </c>
      <c r="E451" s="145">
        <v>2.75671</v>
      </c>
      <c r="F451" s="145" t="s">
        <v>192</v>
      </c>
      <c r="G451" s="145">
        <v>2.8851</v>
      </c>
      <c r="H451" s="145">
        <v>2.83324</v>
      </c>
      <c r="I451" s="145">
        <v>2.8172799999999998</v>
      </c>
    </row>
    <row r="452" spans="1:9" x14ac:dyDescent="0.25">
      <c r="A452" s="146" t="s">
        <v>191</v>
      </c>
      <c r="B452" s="144">
        <v>44403</v>
      </c>
      <c r="C452" s="144">
        <v>44409</v>
      </c>
      <c r="D452" s="145">
        <v>2.7631299999999999</v>
      </c>
      <c r="E452" s="145">
        <v>2.7747899999999999</v>
      </c>
      <c r="F452" s="145" t="s">
        <v>192</v>
      </c>
      <c r="G452" s="145">
        <v>2.9126400000000001</v>
      </c>
      <c r="H452" s="145">
        <v>2.8479700000000001</v>
      </c>
      <c r="I452" s="145">
        <v>2.8373599999999999</v>
      </c>
    </row>
    <row r="453" spans="1:9" x14ac:dyDescent="0.25">
      <c r="A453" s="146" t="s">
        <v>191</v>
      </c>
      <c r="B453" s="144">
        <v>44410</v>
      </c>
      <c r="C453" s="144">
        <v>44416</v>
      </c>
      <c r="D453" s="145">
        <v>2.8050000000000002</v>
      </c>
      <c r="E453" s="145">
        <v>2.8578999999999999</v>
      </c>
      <c r="F453" s="145" t="s">
        <v>192</v>
      </c>
      <c r="G453" s="145">
        <v>2.94848</v>
      </c>
      <c r="H453" s="145">
        <v>2.89439</v>
      </c>
      <c r="I453" s="145">
        <v>2.88693</v>
      </c>
    </row>
    <row r="454" spans="1:9" x14ac:dyDescent="0.25">
      <c r="A454" s="146" t="s">
        <v>191</v>
      </c>
      <c r="B454" s="144">
        <v>44417</v>
      </c>
      <c r="C454" s="144">
        <v>44423</v>
      </c>
      <c r="D454" s="145">
        <v>2.8257500000000002</v>
      </c>
      <c r="E454" s="145">
        <v>2.7986900000000001</v>
      </c>
      <c r="F454" s="145" t="s">
        <v>192</v>
      </c>
      <c r="G454" s="145">
        <v>2.9650699999999999</v>
      </c>
      <c r="H454" s="145">
        <v>2.9004300000000001</v>
      </c>
      <c r="I454" s="145">
        <v>2.8869899999999999</v>
      </c>
    </row>
    <row r="455" spans="1:9" x14ac:dyDescent="0.25">
      <c r="A455" s="146" t="s">
        <v>191</v>
      </c>
      <c r="B455" s="144">
        <v>44424</v>
      </c>
      <c r="C455" s="144">
        <v>44430</v>
      </c>
      <c r="D455" s="145">
        <v>2.7850000000000001</v>
      </c>
      <c r="E455" s="145">
        <v>2.82999</v>
      </c>
      <c r="F455" s="145" t="s">
        <v>192</v>
      </c>
      <c r="G455" s="145">
        <v>2.95756</v>
      </c>
      <c r="H455" s="145">
        <v>2.9016099999999998</v>
      </c>
      <c r="I455" s="145">
        <v>2.8881800000000002</v>
      </c>
    </row>
    <row r="456" spans="1:9" x14ac:dyDescent="0.25">
      <c r="A456" s="146" t="s">
        <v>191</v>
      </c>
      <c r="B456" s="144">
        <v>44431</v>
      </c>
      <c r="C456" s="144">
        <v>44437</v>
      </c>
      <c r="D456" s="145">
        <v>2.82721</v>
      </c>
      <c r="E456" s="145">
        <v>2.80924</v>
      </c>
      <c r="F456" s="145" t="s">
        <v>192</v>
      </c>
      <c r="G456" s="145">
        <v>2.95845</v>
      </c>
      <c r="H456" s="145">
        <v>2.9087499999999999</v>
      </c>
      <c r="I456" s="145">
        <v>2.8835600000000001</v>
      </c>
    </row>
    <row r="457" spans="1:9" x14ac:dyDescent="0.25">
      <c r="A457" s="146" t="s">
        <v>191</v>
      </c>
      <c r="B457" s="144">
        <v>44438</v>
      </c>
      <c r="C457" s="144">
        <v>44444</v>
      </c>
      <c r="D457" s="145">
        <v>2.7833899999999998</v>
      </c>
      <c r="E457" s="145">
        <v>2.80063</v>
      </c>
      <c r="F457" s="145" t="s">
        <v>192</v>
      </c>
      <c r="G457" s="145">
        <v>2.9422700000000002</v>
      </c>
      <c r="H457" s="145">
        <v>2.8788499999999999</v>
      </c>
      <c r="I457" s="145">
        <v>2.8651200000000001</v>
      </c>
    </row>
    <row r="458" spans="1:9" x14ac:dyDescent="0.25">
      <c r="A458" s="146" t="s">
        <v>191</v>
      </c>
      <c r="B458" s="144">
        <v>44445</v>
      </c>
      <c r="C458" s="144">
        <v>44451</v>
      </c>
      <c r="D458" s="145">
        <v>2.8090099999999998</v>
      </c>
      <c r="E458" s="145">
        <v>2.7779500000000001</v>
      </c>
      <c r="F458" s="145" t="s">
        <v>192</v>
      </c>
      <c r="G458" s="145">
        <v>2.93736</v>
      </c>
      <c r="H458" s="145">
        <v>2.8772799999999998</v>
      </c>
      <c r="I458" s="145">
        <v>2.8620100000000002</v>
      </c>
    </row>
    <row r="459" spans="1:9" x14ac:dyDescent="0.25">
      <c r="A459" s="146" t="s">
        <v>191</v>
      </c>
      <c r="B459" s="144">
        <v>44452</v>
      </c>
      <c r="C459" s="144">
        <v>44458</v>
      </c>
      <c r="D459" s="145">
        <v>2.7805800000000001</v>
      </c>
      <c r="E459" s="145">
        <v>2.8106399999999998</v>
      </c>
      <c r="F459" s="145" t="s">
        <v>192</v>
      </c>
      <c r="G459" s="145">
        <v>2.9430999999999998</v>
      </c>
      <c r="H459" s="145">
        <v>2.87683</v>
      </c>
      <c r="I459" s="145">
        <v>2.8693399999999998</v>
      </c>
    </row>
    <row r="460" spans="1:9" x14ac:dyDescent="0.25">
      <c r="A460" s="146" t="s">
        <v>191</v>
      </c>
      <c r="B460" s="144">
        <v>44459</v>
      </c>
      <c r="C460" s="144">
        <v>44465</v>
      </c>
      <c r="D460" s="145">
        <v>2.7824</v>
      </c>
      <c r="E460" s="145">
        <v>2.8042600000000002</v>
      </c>
      <c r="F460" s="145" t="s">
        <v>192</v>
      </c>
      <c r="G460" s="145">
        <v>2.9273099999999999</v>
      </c>
      <c r="H460" s="145">
        <v>2.8804500000000002</v>
      </c>
      <c r="I460" s="145">
        <v>2.8596900000000001</v>
      </c>
    </row>
    <row r="461" spans="1:9" x14ac:dyDescent="0.25">
      <c r="A461" s="146" t="s">
        <v>191</v>
      </c>
      <c r="B461" s="144">
        <v>44466</v>
      </c>
      <c r="C461" s="144">
        <v>44472</v>
      </c>
      <c r="D461" s="145">
        <v>2.9057200000000001</v>
      </c>
      <c r="E461" s="145">
        <v>2.8292899999999999</v>
      </c>
      <c r="F461" s="145" t="s">
        <v>192</v>
      </c>
      <c r="G461" s="145">
        <v>3.0314299999999998</v>
      </c>
      <c r="H461" s="145">
        <v>2.9456099999999998</v>
      </c>
      <c r="I461" s="145">
        <v>2.9345300000000001</v>
      </c>
    </row>
    <row r="462" spans="1:9" x14ac:dyDescent="0.25">
      <c r="A462" s="146" t="s">
        <v>191</v>
      </c>
      <c r="B462" s="144">
        <v>44473</v>
      </c>
      <c r="C462" s="144">
        <v>44479</v>
      </c>
      <c r="D462" s="145">
        <v>2.9367999999999999</v>
      </c>
      <c r="E462" s="145">
        <v>2.9483899999999998</v>
      </c>
      <c r="F462" s="145" t="s">
        <v>192</v>
      </c>
      <c r="G462" s="145">
        <v>3.0960100000000002</v>
      </c>
      <c r="H462" s="145">
        <v>3.02196</v>
      </c>
      <c r="I462" s="145">
        <v>3.0051800000000002</v>
      </c>
    </row>
    <row r="463" spans="1:9" x14ac:dyDescent="0.25">
      <c r="A463" s="146" t="s">
        <v>191</v>
      </c>
      <c r="B463" s="144">
        <v>44480</v>
      </c>
      <c r="C463" s="144">
        <v>44486</v>
      </c>
      <c r="D463" s="145">
        <v>2.95465</v>
      </c>
      <c r="E463" s="145">
        <v>2.9580299999999999</v>
      </c>
      <c r="F463" s="145" t="s">
        <v>192</v>
      </c>
      <c r="G463" s="145">
        <v>3.0822500000000002</v>
      </c>
      <c r="H463" s="145">
        <v>3.0248900000000001</v>
      </c>
      <c r="I463" s="145">
        <v>3.01763</v>
      </c>
    </row>
    <row r="464" spans="1:9" x14ac:dyDescent="0.25">
      <c r="A464" s="146" t="s">
        <v>191</v>
      </c>
      <c r="B464" s="144">
        <v>44487</v>
      </c>
      <c r="C464" s="144">
        <v>44493</v>
      </c>
      <c r="D464" s="145">
        <v>2.9381300000000001</v>
      </c>
      <c r="E464" s="145">
        <v>2.9494699999999998</v>
      </c>
      <c r="F464" s="145" t="s">
        <v>192</v>
      </c>
      <c r="G464" s="145">
        <v>3.0988899999999999</v>
      </c>
      <c r="H464" s="145">
        <v>3.0268199999999998</v>
      </c>
      <c r="I464" s="145">
        <v>3.00353</v>
      </c>
    </row>
    <row r="465" spans="1:9" x14ac:dyDescent="0.25">
      <c r="A465" s="146" t="s">
        <v>191</v>
      </c>
      <c r="B465" s="144">
        <v>44494</v>
      </c>
      <c r="C465" s="144">
        <v>44500</v>
      </c>
      <c r="D465" s="145">
        <v>2.95343</v>
      </c>
      <c r="E465" s="145">
        <v>3.0126300000000001</v>
      </c>
      <c r="F465" s="145" t="s">
        <v>192</v>
      </c>
      <c r="G465" s="145">
        <v>3.1583700000000001</v>
      </c>
      <c r="H465" s="145">
        <v>3.1225100000000001</v>
      </c>
      <c r="I465" s="145">
        <v>3.1041699999999999</v>
      </c>
    </row>
    <row r="466" spans="1:9" x14ac:dyDescent="0.25">
      <c r="A466" s="146" t="s">
        <v>191</v>
      </c>
      <c r="B466" s="144">
        <v>44501</v>
      </c>
      <c r="C466" s="144">
        <v>44507</v>
      </c>
      <c r="D466" s="145">
        <v>3.51424</v>
      </c>
      <c r="E466" s="145">
        <v>3.5510299999999999</v>
      </c>
      <c r="F466" s="145" t="s">
        <v>192</v>
      </c>
      <c r="G466" s="145">
        <v>3.6663899999999998</v>
      </c>
      <c r="H466" s="145">
        <v>3.6083099999999999</v>
      </c>
      <c r="I466" s="145">
        <v>3.5986500000000001</v>
      </c>
    </row>
    <row r="467" spans="1:9" x14ac:dyDescent="0.25">
      <c r="A467" s="146" t="s">
        <v>191</v>
      </c>
      <c r="B467" s="144">
        <v>44508</v>
      </c>
      <c r="C467" s="144">
        <v>44514</v>
      </c>
      <c r="D467" s="145">
        <v>3.5345399999999998</v>
      </c>
      <c r="E467" s="145">
        <v>3.4605899999999998</v>
      </c>
      <c r="F467" s="145" t="s">
        <v>192</v>
      </c>
      <c r="G467" s="145">
        <v>3.6717</v>
      </c>
      <c r="H467" s="145">
        <v>3.6087799999999999</v>
      </c>
      <c r="I467" s="145">
        <v>3.5562200000000002</v>
      </c>
    </row>
    <row r="468" spans="1:9" x14ac:dyDescent="0.25">
      <c r="A468" s="146" t="s">
        <v>191</v>
      </c>
      <c r="B468" s="144">
        <v>44515</v>
      </c>
      <c r="C468" s="144">
        <v>44521</v>
      </c>
      <c r="D468" s="145">
        <v>3.51206</v>
      </c>
      <c r="E468" s="145">
        <v>3.54975</v>
      </c>
      <c r="F468" s="145" t="s">
        <v>192</v>
      </c>
      <c r="G468" s="145">
        <v>3.6800700000000002</v>
      </c>
      <c r="H468" s="145">
        <v>3.6132300000000002</v>
      </c>
      <c r="I468" s="145">
        <v>3.6036700000000002</v>
      </c>
    </row>
    <row r="469" spans="1:9" x14ac:dyDescent="0.25">
      <c r="A469" s="146" t="s">
        <v>191</v>
      </c>
      <c r="B469" s="144">
        <v>44522</v>
      </c>
      <c r="C469" s="144">
        <v>44528</v>
      </c>
      <c r="D469" s="145">
        <v>3.5329100000000002</v>
      </c>
      <c r="E469" s="145">
        <v>3.52196</v>
      </c>
      <c r="F469" s="145" t="s">
        <v>192</v>
      </c>
      <c r="G469" s="145">
        <v>3.6827200000000002</v>
      </c>
      <c r="H469" s="145">
        <v>3.60866</v>
      </c>
      <c r="I469" s="145">
        <v>3.58989</v>
      </c>
    </row>
    <row r="470" spans="1:9" x14ac:dyDescent="0.25">
      <c r="A470" s="146" t="s">
        <v>191</v>
      </c>
      <c r="B470" s="144">
        <v>44529</v>
      </c>
      <c r="C470" s="144">
        <v>44535</v>
      </c>
      <c r="D470" s="145">
        <v>3.55403</v>
      </c>
      <c r="E470" s="145">
        <v>3.6097800000000002</v>
      </c>
      <c r="F470" s="145" t="s">
        <v>192</v>
      </c>
      <c r="G470" s="145">
        <v>3.7723399999999998</v>
      </c>
      <c r="H470" s="145">
        <v>3.68113</v>
      </c>
      <c r="I470" s="145">
        <v>3.67483</v>
      </c>
    </row>
    <row r="471" spans="1:9" x14ac:dyDescent="0.25">
      <c r="A471" s="146" t="s">
        <v>191</v>
      </c>
      <c r="B471" s="144">
        <v>44536</v>
      </c>
      <c r="C471" s="144">
        <v>44542</v>
      </c>
      <c r="D471" s="145">
        <v>3.60012</v>
      </c>
      <c r="E471" s="145">
        <v>3.6048499999999999</v>
      </c>
      <c r="F471" s="145" t="s">
        <v>192</v>
      </c>
      <c r="G471" s="145">
        <v>3.7864100000000001</v>
      </c>
      <c r="H471" s="145">
        <v>3.71427</v>
      </c>
      <c r="I471" s="145">
        <v>3.69089</v>
      </c>
    </row>
    <row r="472" spans="1:9" x14ac:dyDescent="0.25">
      <c r="A472" s="146" t="s">
        <v>191</v>
      </c>
      <c r="B472" s="144">
        <v>44543</v>
      </c>
      <c r="C472" s="144">
        <v>44549</v>
      </c>
      <c r="D472" s="145">
        <v>3.6021100000000001</v>
      </c>
      <c r="E472" s="145">
        <v>3.6416400000000002</v>
      </c>
      <c r="F472" s="145" t="s">
        <v>192</v>
      </c>
      <c r="G472" s="145">
        <v>3.78308</v>
      </c>
      <c r="H472" s="145">
        <v>3.7168000000000001</v>
      </c>
      <c r="I472" s="145">
        <v>3.7045599999999999</v>
      </c>
    </row>
    <row r="473" spans="1:9" x14ac:dyDescent="0.25">
      <c r="A473" s="146" t="s">
        <v>191</v>
      </c>
      <c r="B473" s="144">
        <v>44550</v>
      </c>
      <c r="C473" s="144">
        <v>44556</v>
      </c>
      <c r="D473" s="145">
        <v>3.62338</v>
      </c>
      <c r="E473" s="145">
        <v>3.61076</v>
      </c>
      <c r="F473" s="145" t="s">
        <v>192</v>
      </c>
      <c r="G473" s="145">
        <v>3.7906300000000002</v>
      </c>
      <c r="H473" s="145">
        <v>3.71746</v>
      </c>
      <c r="I473" s="145">
        <v>3.6856</v>
      </c>
    </row>
    <row r="474" spans="1:9" x14ac:dyDescent="0.25">
      <c r="A474" s="146" t="s">
        <v>191</v>
      </c>
      <c r="B474" s="144">
        <v>44557</v>
      </c>
      <c r="C474" s="144">
        <v>44563</v>
      </c>
      <c r="D474" s="145">
        <v>3.6094200000000001</v>
      </c>
      <c r="E474" s="145">
        <v>3.6366900000000002</v>
      </c>
      <c r="F474" s="145" t="s">
        <v>192</v>
      </c>
      <c r="G474" s="145">
        <v>3.7852100000000002</v>
      </c>
      <c r="H474" s="145">
        <v>3.7201200000000001</v>
      </c>
      <c r="I474" s="145">
        <v>3.70973</v>
      </c>
    </row>
    <row r="475" spans="1:9" x14ac:dyDescent="0.25">
      <c r="A475" s="146" t="s">
        <v>191</v>
      </c>
      <c r="B475" s="144">
        <v>44564</v>
      </c>
      <c r="C475" s="144">
        <v>44570</v>
      </c>
      <c r="D475" s="145">
        <v>3.3675700000000002</v>
      </c>
      <c r="E475" s="145">
        <v>3.37276</v>
      </c>
      <c r="F475" s="145" t="s">
        <v>192</v>
      </c>
      <c r="G475" s="145">
        <v>3.5352399999999999</v>
      </c>
      <c r="H475" s="145">
        <v>3.4666199999999998</v>
      </c>
      <c r="I475" s="145">
        <v>3.4414400000000001</v>
      </c>
    </row>
    <row r="476" spans="1:9" x14ac:dyDescent="0.25">
      <c r="A476" s="146" t="s">
        <v>191</v>
      </c>
      <c r="B476" s="144">
        <v>44571</v>
      </c>
      <c r="C476" s="144">
        <v>44577</v>
      </c>
      <c r="D476" s="145">
        <v>3.3542999999999998</v>
      </c>
      <c r="E476" s="145">
        <v>3.4003999999999999</v>
      </c>
      <c r="F476" s="145" t="s">
        <v>192</v>
      </c>
      <c r="G476" s="145">
        <v>3.5506600000000001</v>
      </c>
      <c r="H476" s="145">
        <v>3.4671099999999999</v>
      </c>
      <c r="I476" s="145">
        <v>3.4590100000000001</v>
      </c>
    </row>
    <row r="477" spans="1:9" x14ac:dyDescent="0.25">
      <c r="A477" s="146" t="s">
        <v>191</v>
      </c>
      <c r="B477" s="144">
        <v>44578</v>
      </c>
      <c r="C477" s="144">
        <v>44584</v>
      </c>
      <c r="D477" s="145">
        <v>3.3687</v>
      </c>
      <c r="E477" s="145">
        <v>3.3819599999999999</v>
      </c>
      <c r="F477" s="145" t="s">
        <v>192</v>
      </c>
      <c r="G477" s="145">
        <v>3.5357699999999999</v>
      </c>
      <c r="H477" s="145">
        <v>3.4660099999999998</v>
      </c>
      <c r="I477" s="145">
        <v>3.4557899999999999</v>
      </c>
    </row>
    <row r="478" spans="1:9" x14ac:dyDescent="0.25">
      <c r="A478" s="146" t="s">
        <v>191</v>
      </c>
      <c r="B478" s="144">
        <v>44585</v>
      </c>
      <c r="C478" s="144">
        <v>44591</v>
      </c>
      <c r="D478" s="145">
        <v>3.3542999999999998</v>
      </c>
      <c r="E478" s="145">
        <v>3.3562400000000001</v>
      </c>
      <c r="F478" s="145" t="s">
        <v>192</v>
      </c>
      <c r="G478" s="145">
        <v>3.56047</v>
      </c>
      <c r="H478" s="145">
        <v>3.4962200000000001</v>
      </c>
      <c r="I478" s="145">
        <v>3.4615499999999999</v>
      </c>
    </row>
    <row r="479" spans="1:9" x14ac:dyDescent="0.25">
      <c r="A479" s="146" t="s">
        <v>191</v>
      </c>
      <c r="B479" s="144">
        <v>44592</v>
      </c>
      <c r="C479" s="144">
        <v>44598</v>
      </c>
      <c r="D479" s="145">
        <v>3.7081300000000001</v>
      </c>
      <c r="E479" s="145">
        <v>3.6745800000000002</v>
      </c>
      <c r="F479" s="145" t="s">
        <v>192</v>
      </c>
      <c r="G479" s="145">
        <v>3.89256</v>
      </c>
      <c r="H479" s="145">
        <v>3.8107799999999998</v>
      </c>
      <c r="I479" s="145">
        <v>3.7925900000000001</v>
      </c>
    </row>
    <row r="480" spans="1:9" x14ac:dyDescent="0.25">
      <c r="A480" s="146" t="s">
        <v>191</v>
      </c>
      <c r="B480" s="144">
        <v>44599</v>
      </c>
      <c r="C480" s="144">
        <v>44605</v>
      </c>
      <c r="D480" s="145">
        <v>3.8192200000000001</v>
      </c>
      <c r="E480" s="145">
        <v>3.7892000000000001</v>
      </c>
      <c r="F480" s="145" t="s">
        <v>192</v>
      </c>
      <c r="G480" s="145">
        <v>3.9492799999999999</v>
      </c>
      <c r="H480" s="145">
        <v>3.8736799999999998</v>
      </c>
      <c r="I480" s="145">
        <v>3.8559399999999999</v>
      </c>
    </row>
    <row r="481" spans="1:9" x14ac:dyDescent="0.25">
      <c r="A481" s="146" t="s">
        <v>191</v>
      </c>
      <c r="B481" s="144">
        <v>44606</v>
      </c>
      <c r="C481" s="144">
        <v>44612</v>
      </c>
      <c r="D481" s="145">
        <v>3.8121100000000001</v>
      </c>
      <c r="E481" s="145">
        <v>3.8113800000000002</v>
      </c>
      <c r="F481" s="145" t="s">
        <v>192</v>
      </c>
      <c r="G481" s="145">
        <v>3.9575</v>
      </c>
      <c r="H481" s="145">
        <v>3.8757100000000002</v>
      </c>
      <c r="I481" s="145">
        <v>3.8676499999999998</v>
      </c>
    </row>
    <row r="482" spans="1:9" x14ac:dyDescent="0.25">
      <c r="A482" s="146" t="s">
        <v>191</v>
      </c>
      <c r="B482" s="144">
        <v>44613</v>
      </c>
      <c r="C482" s="144">
        <v>44619</v>
      </c>
      <c r="D482" s="145">
        <v>3.8046000000000002</v>
      </c>
      <c r="E482" s="145">
        <v>3.80274</v>
      </c>
      <c r="F482" s="145" t="s">
        <v>192</v>
      </c>
      <c r="G482" s="145">
        <v>3.9483899999999998</v>
      </c>
      <c r="H482" s="145">
        <v>3.8788399999999998</v>
      </c>
      <c r="I482" s="145">
        <v>3.8638699999999999</v>
      </c>
    </row>
    <row r="483" spans="1:9" x14ac:dyDescent="0.25">
      <c r="A483" s="146" t="s">
        <v>191</v>
      </c>
      <c r="B483" s="144">
        <v>44620</v>
      </c>
      <c r="C483" s="144">
        <v>44626</v>
      </c>
      <c r="D483" s="145">
        <v>3.8651</v>
      </c>
      <c r="E483" s="145">
        <v>3.9507699999999999</v>
      </c>
      <c r="F483" s="145" t="s">
        <v>192</v>
      </c>
      <c r="G483" s="145">
        <v>4.0717600000000003</v>
      </c>
      <c r="H483" s="145">
        <v>3.99987</v>
      </c>
      <c r="I483" s="145">
        <v>3.9876499999999999</v>
      </c>
    </row>
    <row r="484" spans="1:9" x14ac:dyDescent="0.25">
      <c r="A484" s="146" t="s">
        <v>191</v>
      </c>
      <c r="B484" s="144">
        <v>44627</v>
      </c>
      <c r="C484" s="144">
        <v>44633</v>
      </c>
      <c r="D484" s="145">
        <v>3.9758399999999998</v>
      </c>
      <c r="E484" s="145">
        <v>3.9565800000000002</v>
      </c>
      <c r="F484" s="145" t="s">
        <v>192</v>
      </c>
      <c r="G484" s="145">
        <v>4.1113799999999996</v>
      </c>
      <c r="H484" s="145">
        <v>4.02189</v>
      </c>
      <c r="I484" s="145">
        <v>4.0190000000000001</v>
      </c>
    </row>
    <row r="485" spans="1:9" x14ac:dyDescent="0.25">
      <c r="A485" s="146" t="s">
        <v>191</v>
      </c>
      <c r="B485" s="144">
        <v>44634</v>
      </c>
      <c r="C485" s="144">
        <v>44640</v>
      </c>
      <c r="D485" s="145">
        <v>3.8850500000000001</v>
      </c>
      <c r="E485" s="145">
        <v>3.9074399999999998</v>
      </c>
      <c r="F485" s="145" t="s">
        <v>192</v>
      </c>
      <c r="G485" s="145">
        <v>4.0433500000000002</v>
      </c>
      <c r="H485" s="145">
        <v>3.99837</v>
      </c>
      <c r="I485" s="145">
        <v>3.9797699999999998</v>
      </c>
    </row>
    <row r="486" spans="1:9" x14ac:dyDescent="0.25">
      <c r="A486" s="146" t="s">
        <v>191</v>
      </c>
      <c r="B486" s="144">
        <v>44641</v>
      </c>
      <c r="C486" s="144">
        <v>44647</v>
      </c>
      <c r="D486" s="145">
        <v>3.9088099999999999</v>
      </c>
      <c r="E486" s="145">
        <v>3.903</v>
      </c>
      <c r="F486" s="145">
        <v>4.1585000000000001</v>
      </c>
      <c r="G486" s="145">
        <v>4.0441900000000004</v>
      </c>
      <c r="H486" s="145">
        <v>3.99735</v>
      </c>
      <c r="I486" s="145">
        <v>3.97864</v>
      </c>
    </row>
    <row r="487" spans="1:9" x14ac:dyDescent="0.25">
      <c r="A487" s="146" t="s">
        <v>191</v>
      </c>
      <c r="B487" s="144">
        <v>44648</v>
      </c>
      <c r="C487" s="144">
        <v>44654</v>
      </c>
      <c r="D487" s="145">
        <v>3.9059499999999998</v>
      </c>
      <c r="E487" s="145">
        <v>4.46258</v>
      </c>
      <c r="F487" s="145">
        <v>4.1585000000000001</v>
      </c>
      <c r="G487" s="145">
        <v>4.2148099999999999</v>
      </c>
      <c r="H487" s="145">
        <v>4.2515099999999997</v>
      </c>
      <c r="I487" s="145">
        <v>4.2866099999999996</v>
      </c>
    </row>
    <row r="488" spans="1:9" x14ac:dyDescent="0.25">
      <c r="A488" s="146" t="s">
        <v>191</v>
      </c>
      <c r="B488" s="144">
        <v>44655</v>
      </c>
      <c r="C488" s="144">
        <v>44661</v>
      </c>
      <c r="D488" s="145">
        <v>4.6424399999999997</v>
      </c>
      <c r="E488" s="145">
        <v>4.6676399999999996</v>
      </c>
      <c r="F488" s="145" t="s">
        <v>192</v>
      </c>
      <c r="G488" s="145">
        <v>4.7807300000000001</v>
      </c>
      <c r="H488" s="145">
        <v>4.7392000000000003</v>
      </c>
      <c r="I488" s="145">
        <v>4.7298799999999996</v>
      </c>
    </row>
    <row r="489" spans="1:9" x14ac:dyDescent="0.25">
      <c r="A489" s="146" t="s">
        <v>191</v>
      </c>
      <c r="B489" s="144">
        <v>44662</v>
      </c>
      <c r="C489" s="144">
        <v>44668</v>
      </c>
      <c r="D489" s="145">
        <v>4.6138000000000003</v>
      </c>
      <c r="E489" s="145">
        <v>4.6377800000000002</v>
      </c>
      <c r="F489" s="145" t="s">
        <v>192</v>
      </c>
      <c r="G489" s="145">
        <v>4.78688</v>
      </c>
      <c r="H489" s="145">
        <v>4.73895</v>
      </c>
      <c r="I489" s="145">
        <v>4.71469</v>
      </c>
    </row>
    <row r="490" spans="1:9" x14ac:dyDescent="0.25">
      <c r="A490" s="146" t="s">
        <v>191</v>
      </c>
      <c r="B490" s="144">
        <v>44669</v>
      </c>
      <c r="C490" s="144">
        <v>44675</v>
      </c>
      <c r="D490" s="145">
        <v>4.6315900000000001</v>
      </c>
      <c r="E490" s="145">
        <v>4.6463000000000001</v>
      </c>
      <c r="F490" s="145" t="s">
        <v>192</v>
      </c>
      <c r="G490" s="145">
        <v>4.7920699999999998</v>
      </c>
      <c r="H490" s="145">
        <v>4.7401099999999996</v>
      </c>
      <c r="I490" s="145">
        <v>4.7297399999999996</v>
      </c>
    </row>
    <row r="491" spans="1:9" x14ac:dyDescent="0.25">
      <c r="A491" s="146" t="s">
        <v>191</v>
      </c>
      <c r="B491" s="144">
        <v>44676</v>
      </c>
      <c r="C491" s="144">
        <v>44682</v>
      </c>
      <c r="D491" s="145">
        <v>4.6751699999999996</v>
      </c>
      <c r="E491" s="145">
        <v>4.6784699999999999</v>
      </c>
      <c r="F491" s="145" t="s">
        <v>192</v>
      </c>
      <c r="G491" s="145">
        <v>4.7883399999999998</v>
      </c>
      <c r="H491" s="145">
        <v>4.7667200000000003</v>
      </c>
      <c r="I491" s="145">
        <v>4.7588800000000004</v>
      </c>
    </row>
    <row r="492" spans="1:9" x14ac:dyDescent="0.25">
      <c r="A492" s="146" t="s">
        <v>191</v>
      </c>
      <c r="B492" s="144">
        <v>44683</v>
      </c>
      <c r="C492" s="144">
        <v>44689</v>
      </c>
      <c r="D492" s="145">
        <v>4.9585999999999997</v>
      </c>
      <c r="E492" s="145">
        <v>4.9522199999999996</v>
      </c>
      <c r="F492" s="145" t="s">
        <v>192</v>
      </c>
      <c r="G492" s="145">
        <v>5.1057800000000002</v>
      </c>
      <c r="H492" s="145">
        <v>5.0648999999999997</v>
      </c>
      <c r="I492" s="145">
        <v>5.0453200000000002</v>
      </c>
    </row>
    <row r="493" spans="1:9" x14ac:dyDescent="0.25">
      <c r="A493" s="146" t="s">
        <v>191</v>
      </c>
      <c r="B493" s="144">
        <v>44690</v>
      </c>
      <c r="C493" s="144">
        <v>44696</v>
      </c>
      <c r="D493" s="145">
        <v>4.9153000000000002</v>
      </c>
      <c r="E493" s="145">
        <v>5.0640900000000002</v>
      </c>
      <c r="F493" s="145" t="s">
        <v>192</v>
      </c>
      <c r="G493" s="145">
        <v>5.1130500000000003</v>
      </c>
      <c r="H493" s="145">
        <v>5.0647000000000002</v>
      </c>
      <c r="I493" s="145">
        <v>5.0651799999999998</v>
      </c>
    </row>
    <row r="494" spans="1:9" x14ac:dyDescent="0.25">
      <c r="A494" s="146" t="s">
        <v>191</v>
      </c>
      <c r="B494" s="144">
        <v>44697</v>
      </c>
      <c r="C494" s="144">
        <v>44703</v>
      </c>
      <c r="D494" s="145">
        <v>4.9190699999999996</v>
      </c>
      <c r="E494" s="145">
        <v>4.9589299999999996</v>
      </c>
      <c r="F494" s="145" t="s">
        <v>192</v>
      </c>
      <c r="G494" s="145">
        <v>5.1107800000000001</v>
      </c>
      <c r="H494" s="145">
        <v>5.0595699999999999</v>
      </c>
      <c r="I494" s="145">
        <v>5.0320499999999999</v>
      </c>
    </row>
    <row r="495" spans="1:9" x14ac:dyDescent="0.25">
      <c r="A495" s="146" t="s">
        <v>191</v>
      </c>
      <c r="B495" s="144">
        <v>44704</v>
      </c>
      <c r="C495" s="144">
        <v>44710</v>
      </c>
      <c r="D495" s="145">
        <v>4.95024</v>
      </c>
      <c r="E495" s="145">
        <v>5.048</v>
      </c>
      <c r="F495" s="145" t="s">
        <v>192</v>
      </c>
      <c r="G495" s="145">
        <v>5.1421299999999999</v>
      </c>
      <c r="H495" s="145">
        <v>5.0630499999999996</v>
      </c>
      <c r="I495" s="145">
        <v>5.06081</v>
      </c>
    </row>
    <row r="496" spans="1:9" x14ac:dyDescent="0.25">
      <c r="A496" s="146" t="s">
        <v>191</v>
      </c>
      <c r="B496" s="144">
        <v>44711</v>
      </c>
      <c r="C496" s="144">
        <v>44717</v>
      </c>
      <c r="D496" s="145">
        <v>5.3273400000000004</v>
      </c>
      <c r="E496" s="145">
        <v>5.45871</v>
      </c>
      <c r="F496" s="145" t="s">
        <v>192</v>
      </c>
      <c r="G496" s="145">
        <v>5.5768500000000003</v>
      </c>
      <c r="H496" s="145">
        <v>5.4741999999999997</v>
      </c>
      <c r="I496" s="145">
        <v>5.4689300000000003</v>
      </c>
    </row>
    <row r="497" spans="1:9" x14ac:dyDescent="0.25">
      <c r="A497" s="146" t="s">
        <v>191</v>
      </c>
      <c r="B497" s="144">
        <v>44718</v>
      </c>
      <c r="C497" s="144">
        <v>44724</v>
      </c>
      <c r="D497" s="145">
        <v>5.4953399999999997</v>
      </c>
      <c r="E497" s="145">
        <v>5.5961800000000004</v>
      </c>
      <c r="F497" s="145" t="s">
        <v>192</v>
      </c>
      <c r="G497" s="145">
        <v>5.6674100000000003</v>
      </c>
      <c r="H497" s="145">
        <v>5.6291799999999999</v>
      </c>
      <c r="I497" s="145">
        <v>5.6220800000000004</v>
      </c>
    </row>
    <row r="498" spans="1:9" x14ac:dyDescent="0.25">
      <c r="A498" s="146" t="s">
        <v>191</v>
      </c>
      <c r="B498" s="144">
        <v>44725</v>
      </c>
      <c r="C498" s="144">
        <v>44731</v>
      </c>
      <c r="D498" s="145">
        <v>5.4936999999999996</v>
      </c>
      <c r="E498" s="145">
        <v>5.6190199999999999</v>
      </c>
      <c r="F498" s="145" t="s">
        <v>192</v>
      </c>
      <c r="G498" s="145">
        <v>5.6804399999999999</v>
      </c>
      <c r="H498" s="145">
        <v>5.6301399999999999</v>
      </c>
      <c r="I498" s="145">
        <v>5.6301399999999999</v>
      </c>
    </row>
    <row r="499" spans="1:9" x14ac:dyDescent="0.25">
      <c r="A499" s="146" t="s">
        <v>191</v>
      </c>
      <c r="B499" s="144">
        <v>44732</v>
      </c>
      <c r="C499" s="144">
        <v>44738</v>
      </c>
      <c r="D499" s="145">
        <v>5.4936999999999996</v>
      </c>
      <c r="E499" s="145">
        <v>5.5474899999999998</v>
      </c>
      <c r="F499" s="145" t="s">
        <v>192</v>
      </c>
      <c r="G499" s="145">
        <v>5.6785600000000001</v>
      </c>
      <c r="H499" s="145">
        <v>5.6261299999999999</v>
      </c>
      <c r="I499" s="145">
        <v>5.6105</v>
      </c>
    </row>
    <row r="500" spans="1:9" x14ac:dyDescent="0.25">
      <c r="A500" s="146" t="s">
        <v>191</v>
      </c>
      <c r="B500" s="144">
        <v>44739</v>
      </c>
      <c r="C500" s="144">
        <v>44745</v>
      </c>
      <c r="D500" s="145">
        <v>5.5298400000000001</v>
      </c>
      <c r="E500" s="145">
        <v>5.6475099999999996</v>
      </c>
      <c r="F500" s="145" t="s">
        <v>192</v>
      </c>
      <c r="G500" s="145">
        <v>5.7804900000000004</v>
      </c>
      <c r="H500" s="145">
        <v>5.7365000000000004</v>
      </c>
      <c r="I500" s="145">
        <v>5.7118599999999997</v>
      </c>
    </row>
    <row r="501" spans="1:9" x14ac:dyDescent="0.25">
      <c r="A501" s="146" t="s">
        <v>191</v>
      </c>
      <c r="B501" s="144">
        <v>44746</v>
      </c>
      <c r="C501" s="144">
        <v>44752</v>
      </c>
      <c r="D501" s="145">
        <v>5.7631500000000004</v>
      </c>
      <c r="E501" s="145">
        <v>5.7017899999999999</v>
      </c>
      <c r="F501" s="145" t="s">
        <v>192</v>
      </c>
      <c r="G501" s="145">
        <v>5.8950800000000001</v>
      </c>
      <c r="H501" s="145">
        <v>5.8497700000000004</v>
      </c>
      <c r="I501" s="145">
        <v>5.8374100000000002</v>
      </c>
    </row>
    <row r="502" spans="1:9" x14ac:dyDescent="0.25">
      <c r="A502" s="146" t="s">
        <v>191</v>
      </c>
      <c r="B502" s="144">
        <v>44753</v>
      </c>
      <c r="C502" s="144">
        <v>44759</v>
      </c>
      <c r="D502" s="145">
        <v>5.6917999999999997</v>
      </c>
      <c r="E502" s="145">
        <v>5.69977</v>
      </c>
      <c r="F502" s="145" t="s">
        <v>192</v>
      </c>
      <c r="G502" s="145">
        <v>5.9028499999999999</v>
      </c>
      <c r="H502" s="145">
        <v>5.85161</v>
      </c>
      <c r="I502" s="145">
        <v>5.8202800000000003</v>
      </c>
    </row>
    <row r="503" spans="1:9" x14ac:dyDescent="0.25">
      <c r="A503" s="146" t="s">
        <v>191</v>
      </c>
      <c r="B503" s="144">
        <v>44760</v>
      </c>
      <c r="C503" s="144">
        <v>44766</v>
      </c>
      <c r="D503" s="145">
        <v>5.6925100000000004</v>
      </c>
      <c r="E503" s="145">
        <v>5.7286799999999998</v>
      </c>
      <c r="F503" s="145" t="s">
        <v>192</v>
      </c>
      <c r="G503" s="145">
        <v>5.9015000000000004</v>
      </c>
      <c r="H503" s="145">
        <v>5.8520700000000003</v>
      </c>
      <c r="I503" s="145">
        <v>5.8385899999999999</v>
      </c>
    </row>
    <row r="504" spans="1:9" x14ac:dyDescent="0.25">
      <c r="A504" s="146" t="s">
        <v>191</v>
      </c>
      <c r="B504" s="144">
        <v>44767</v>
      </c>
      <c r="C504" s="144">
        <v>44773</v>
      </c>
      <c r="D504" s="145">
        <v>5.7529300000000001</v>
      </c>
      <c r="E504" s="145">
        <v>5.6949899999999998</v>
      </c>
      <c r="F504" s="145" t="s">
        <v>192</v>
      </c>
      <c r="G504" s="145">
        <v>5.8981899999999996</v>
      </c>
      <c r="H504" s="145">
        <v>5.8555000000000001</v>
      </c>
      <c r="I504" s="145">
        <v>5.8296400000000004</v>
      </c>
    </row>
    <row r="505" spans="1:9" x14ac:dyDescent="0.25">
      <c r="A505" s="146" t="s">
        <v>191</v>
      </c>
      <c r="B505" s="144">
        <v>44774</v>
      </c>
      <c r="C505" s="144">
        <v>44780</v>
      </c>
      <c r="D505" s="145">
        <v>5.6029999999999998</v>
      </c>
      <c r="E505" s="145">
        <v>5.5662000000000003</v>
      </c>
      <c r="F505" s="145" t="s">
        <v>192</v>
      </c>
      <c r="G505" s="145">
        <v>5.7537799999999999</v>
      </c>
      <c r="H505" s="145">
        <v>5.7034500000000001</v>
      </c>
      <c r="I505" s="145">
        <v>5.6726700000000001</v>
      </c>
    </row>
    <row r="506" spans="1:9" x14ac:dyDescent="0.25">
      <c r="A506" s="146" t="s">
        <v>191</v>
      </c>
      <c r="B506" s="144">
        <v>44781</v>
      </c>
      <c r="C506" s="144">
        <v>44787</v>
      </c>
      <c r="D506" s="145">
        <v>5.5371600000000001</v>
      </c>
      <c r="E506" s="145">
        <v>5.5740400000000001</v>
      </c>
      <c r="F506" s="145" t="s">
        <v>192</v>
      </c>
      <c r="G506" s="145">
        <v>5.7490699999999997</v>
      </c>
      <c r="H506" s="145">
        <v>5.7018199999999997</v>
      </c>
      <c r="I506" s="145">
        <v>5.6849299999999996</v>
      </c>
    </row>
    <row r="507" spans="1:9" x14ac:dyDescent="0.25">
      <c r="A507" s="146" t="s">
        <v>191</v>
      </c>
      <c r="B507" s="144">
        <v>44788</v>
      </c>
      <c r="C507" s="144">
        <v>44794</v>
      </c>
      <c r="D507" s="145">
        <v>5.5365000000000002</v>
      </c>
      <c r="E507" s="145">
        <v>5.5523400000000001</v>
      </c>
      <c r="F507" s="145" t="s">
        <v>192</v>
      </c>
      <c r="G507" s="145">
        <v>5.7497999999999996</v>
      </c>
      <c r="H507" s="145">
        <v>5.7013699999999998</v>
      </c>
      <c r="I507" s="145">
        <v>5.6690100000000001</v>
      </c>
    </row>
    <row r="508" spans="1:9" x14ac:dyDescent="0.25">
      <c r="A508" s="146" t="s">
        <v>191</v>
      </c>
      <c r="B508" s="144">
        <v>44795</v>
      </c>
      <c r="C508" s="144">
        <v>44801</v>
      </c>
      <c r="D508" s="145">
        <v>6.51396</v>
      </c>
      <c r="E508" s="145">
        <v>5.5853000000000002</v>
      </c>
      <c r="F508" s="145" t="s">
        <v>192</v>
      </c>
      <c r="G508" s="145">
        <v>5.7547100000000002</v>
      </c>
      <c r="H508" s="145">
        <v>5.6997</v>
      </c>
      <c r="I508" s="145">
        <v>5.7508900000000001</v>
      </c>
    </row>
    <row r="509" spans="1:9" x14ac:dyDescent="0.25">
      <c r="A509" s="146" t="s">
        <v>191</v>
      </c>
      <c r="B509" s="144">
        <v>44802</v>
      </c>
      <c r="C509" s="144">
        <v>44808</v>
      </c>
      <c r="D509" s="145">
        <v>5.1264000000000003</v>
      </c>
      <c r="E509" s="145">
        <v>5.0682700000000001</v>
      </c>
      <c r="F509" s="145" t="s">
        <v>192</v>
      </c>
      <c r="G509" s="145">
        <v>5.5578599999999998</v>
      </c>
      <c r="H509" s="145">
        <v>5.3531199999999997</v>
      </c>
      <c r="I509" s="145">
        <v>5.2945900000000004</v>
      </c>
    </row>
    <row r="510" spans="1:9" x14ac:dyDescent="0.25">
      <c r="A510" s="146" t="s">
        <v>191</v>
      </c>
      <c r="B510" s="144">
        <v>44809</v>
      </c>
      <c r="C510" s="144">
        <v>44815</v>
      </c>
      <c r="D510" s="145">
        <v>5.0087000000000002</v>
      </c>
      <c r="E510" s="145">
        <v>4.7396900000000004</v>
      </c>
      <c r="F510" s="145" t="s">
        <v>192</v>
      </c>
      <c r="G510" s="145">
        <v>5.1648100000000001</v>
      </c>
      <c r="H510" s="145">
        <v>5.1127399999999996</v>
      </c>
      <c r="I510" s="145">
        <v>5.0297799999999997</v>
      </c>
    </row>
    <row r="511" spans="1:9" x14ac:dyDescent="0.25">
      <c r="A511" s="146" t="s">
        <v>191</v>
      </c>
      <c r="B511" s="144">
        <v>44816</v>
      </c>
      <c r="C511" s="144">
        <v>44822</v>
      </c>
      <c r="D511" s="145">
        <v>4.9485999999999999</v>
      </c>
      <c r="E511" s="145">
        <v>4.9803800000000003</v>
      </c>
      <c r="F511" s="145" t="s">
        <v>192</v>
      </c>
      <c r="G511" s="145">
        <v>5.1720600000000001</v>
      </c>
      <c r="H511" s="145">
        <v>5.1090799999999996</v>
      </c>
      <c r="I511" s="145">
        <v>5.08094</v>
      </c>
    </row>
    <row r="512" spans="1:9" x14ac:dyDescent="0.25">
      <c r="A512" s="146" t="s">
        <v>191</v>
      </c>
      <c r="B512" s="144">
        <v>44823</v>
      </c>
      <c r="C512" s="144">
        <v>44829</v>
      </c>
      <c r="D512" s="145">
        <v>5.0018700000000003</v>
      </c>
      <c r="E512" s="145">
        <v>4.9911599999999998</v>
      </c>
      <c r="F512" s="145" t="s">
        <v>192</v>
      </c>
      <c r="G512" s="145">
        <v>5.1728399999999999</v>
      </c>
      <c r="H512" s="145">
        <v>5.1089399999999996</v>
      </c>
      <c r="I512" s="145">
        <v>5.0966699999999996</v>
      </c>
    </row>
    <row r="513" spans="1:9" x14ac:dyDescent="0.25">
      <c r="A513" s="146" t="s">
        <v>191</v>
      </c>
      <c r="B513" s="144">
        <v>44830</v>
      </c>
      <c r="C513" s="144">
        <v>44836</v>
      </c>
      <c r="D513" s="145">
        <v>4.9485999999999999</v>
      </c>
      <c r="E513" s="145">
        <v>5.0071700000000003</v>
      </c>
      <c r="F513" s="145" t="s">
        <v>192</v>
      </c>
      <c r="G513" s="145">
        <v>5.1571300000000004</v>
      </c>
      <c r="H513" s="145">
        <v>5.1026199999999999</v>
      </c>
      <c r="I513" s="145">
        <v>5.0953499999999998</v>
      </c>
    </row>
    <row r="514" spans="1:9" x14ac:dyDescent="0.25">
      <c r="A514" s="146" t="s">
        <v>191</v>
      </c>
      <c r="B514" s="144">
        <v>44837</v>
      </c>
      <c r="C514" s="144">
        <v>44843</v>
      </c>
      <c r="D514" s="145">
        <v>4.9078600000000003</v>
      </c>
      <c r="E514" s="145">
        <v>4.93506</v>
      </c>
      <c r="F514" s="145" t="s">
        <v>192</v>
      </c>
      <c r="G514" s="145">
        <v>5.1313899999999997</v>
      </c>
      <c r="H514" s="145">
        <v>5.0688199999999997</v>
      </c>
      <c r="I514" s="145">
        <v>5.03261</v>
      </c>
    </row>
    <row r="515" spans="1:9" x14ac:dyDescent="0.25">
      <c r="A515" s="146" t="s">
        <v>191</v>
      </c>
      <c r="B515" s="144">
        <v>44844</v>
      </c>
      <c r="C515" s="144">
        <v>44850</v>
      </c>
      <c r="D515" s="145">
        <v>4.9966999999999997</v>
      </c>
      <c r="E515" s="145">
        <v>4.9320599999999999</v>
      </c>
      <c r="F515" s="145" t="s">
        <v>192</v>
      </c>
      <c r="G515" s="145">
        <v>5.1267100000000001</v>
      </c>
      <c r="H515" s="145">
        <v>5.0695899999999998</v>
      </c>
      <c r="I515" s="145">
        <v>5.0357200000000004</v>
      </c>
    </row>
    <row r="516" spans="1:9" x14ac:dyDescent="0.25">
      <c r="A516" s="146" t="s">
        <v>191</v>
      </c>
      <c r="B516" s="144">
        <v>44851</v>
      </c>
      <c r="C516" s="144">
        <v>44857</v>
      </c>
      <c r="D516" s="145">
        <v>4.9562099999999996</v>
      </c>
      <c r="E516" s="145">
        <v>4.94841</v>
      </c>
      <c r="F516" s="145" t="s">
        <v>192</v>
      </c>
      <c r="G516" s="145">
        <v>5.1264099999999999</v>
      </c>
      <c r="H516" s="145">
        <v>5.0707399999999998</v>
      </c>
      <c r="I516" s="145">
        <v>5.0580999999999996</v>
      </c>
    </row>
    <row r="517" spans="1:9" x14ac:dyDescent="0.25">
      <c r="A517" s="146" t="s">
        <v>191</v>
      </c>
      <c r="B517" s="144">
        <v>44858</v>
      </c>
      <c r="C517" s="144">
        <v>44864</v>
      </c>
      <c r="D517" s="145">
        <v>4.9074999999999998</v>
      </c>
      <c r="E517" s="145">
        <v>4.9570100000000004</v>
      </c>
      <c r="F517" s="145" t="s">
        <v>192</v>
      </c>
      <c r="G517" s="145">
        <v>5.1333900000000003</v>
      </c>
      <c r="H517" s="145">
        <v>5.0684699999999996</v>
      </c>
      <c r="I517" s="145">
        <v>5.0560799999999997</v>
      </c>
    </row>
    <row r="518" spans="1:9" x14ac:dyDescent="0.25">
      <c r="A518" s="146" t="s">
        <v>191</v>
      </c>
      <c r="B518" s="144">
        <v>44865</v>
      </c>
      <c r="C518" s="144">
        <v>44871</v>
      </c>
      <c r="D518" s="145">
        <v>5.2683</v>
      </c>
      <c r="E518" s="145">
        <v>5.2953900000000003</v>
      </c>
      <c r="F518" s="145" t="s">
        <v>192</v>
      </c>
      <c r="G518" s="145">
        <v>5.3954599999999999</v>
      </c>
      <c r="H518" s="145">
        <v>5.3307900000000004</v>
      </c>
      <c r="I518" s="145">
        <v>5.3247499999999999</v>
      </c>
    </row>
    <row r="519" spans="1:9" x14ac:dyDescent="0.25">
      <c r="A519" s="146" t="s">
        <v>191</v>
      </c>
      <c r="B519" s="144">
        <v>44872</v>
      </c>
      <c r="C519" s="144">
        <v>44878</v>
      </c>
      <c r="D519" s="145">
        <v>5.3278299999999996</v>
      </c>
      <c r="E519" s="145">
        <v>5.0060599999999997</v>
      </c>
      <c r="F519" s="145" t="s">
        <v>192</v>
      </c>
      <c r="G519" s="145">
        <v>5.5035699999999999</v>
      </c>
      <c r="H519" s="145">
        <v>5.3988500000000004</v>
      </c>
      <c r="I519" s="145">
        <v>5.3252199999999998</v>
      </c>
    </row>
    <row r="520" spans="1:9" x14ac:dyDescent="0.25">
      <c r="A520" s="146" t="s">
        <v>191</v>
      </c>
      <c r="B520" s="144">
        <v>44879</v>
      </c>
      <c r="C520" s="144">
        <v>44885</v>
      </c>
      <c r="D520" s="145">
        <v>5.2683</v>
      </c>
      <c r="E520" s="145">
        <v>5.2973100000000004</v>
      </c>
      <c r="F520" s="145" t="s">
        <v>192</v>
      </c>
      <c r="G520" s="145">
        <v>5.5190000000000001</v>
      </c>
      <c r="H520" s="145">
        <v>5.4294500000000001</v>
      </c>
      <c r="I520" s="145">
        <v>5.4010300000000004</v>
      </c>
    </row>
    <row r="521" spans="1:9" x14ac:dyDescent="0.25">
      <c r="A521" s="146" t="s">
        <v>191</v>
      </c>
      <c r="B521" s="144">
        <v>44886</v>
      </c>
      <c r="C521" s="144">
        <v>44892</v>
      </c>
      <c r="D521" s="145">
        <v>5.3389800000000003</v>
      </c>
      <c r="E521" s="145">
        <v>5.3259999999999996</v>
      </c>
      <c r="F521" s="145" t="s">
        <v>192</v>
      </c>
      <c r="G521" s="145">
        <v>5.5034400000000003</v>
      </c>
      <c r="H521" s="145">
        <v>5.4313000000000002</v>
      </c>
      <c r="I521" s="145">
        <v>5.41784</v>
      </c>
    </row>
    <row r="522" spans="1:9" x14ac:dyDescent="0.25">
      <c r="A522" s="146" t="s">
        <v>191</v>
      </c>
      <c r="B522" s="144">
        <v>44893</v>
      </c>
      <c r="C522" s="144">
        <v>44899</v>
      </c>
      <c r="D522" s="145">
        <v>4.8017500000000002</v>
      </c>
      <c r="E522" s="145">
        <v>5.0875700000000004</v>
      </c>
      <c r="F522" s="145" t="s">
        <v>192</v>
      </c>
      <c r="G522" s="145">
        <v>5.3353099999999998</v>
      </c>
      <c r="H522" s="145">
        <v>5.2385999999999999</v>
      </c>
      <c r="I522" s="145">
        <v>5.2165499999999998</v>
      </c>
    </row>
    <row r="523" spans="1:9" x14ac:dyDescent="0.25">
      <c r="A523" s="146" t="s">
        <v>191</v>
      </c>
      <c r="B523" s="144">
        <v>44900</v>
      </c>
      <c r="C523" s="144">
        <v>44906</v>
      </c>
      <c r="D523" s="145">
        <v>4.9598699999999996</v>
      </c>
      <c r="E523" s="145">
        <v>4.9793799999999999</v>
      </c>
      <c r="F523" s="145" t="s">
        <v>192</v>
      </c>
      <c r="G523" s="145">
        <v>5.1750499999999997</v>
      </c>
      <c r="H523" s="145">
        <v>5.11198</v>
      </c>
      <c r="I523" s="145">
        <v>5.0778999999999996</v>
      </c>
    </row>
    <row r="524" spans="1:9" x14ac:dyDescent="0.25">
      <c r="A524" s="146" t="s">
        <v>191</v>
      </c>
      <c r="B524" s="144">
        <v>44907</v>
      </c>
      <c r="C524" s="144">
        <v>44913</v>
      </c>
      <c r="D524" s="145">
        <v>4.95946</v>
      </c>
      <c r="E524" s="145">
        <v>4.7942900000000002</v>
      </c>
      <c r="F524" s="145" t="s">
        <v>192</v>
      </c>
      <c r="G524" s="145">
        <v>5.1821900000000003</v>
      </c>
      <c r="H524" s="145">
        <v>5.1157399999999997</v>
      </c>
      <c r="I524" s="145">
        <v>5.0316700000000001</v>
      </c>
    </row>
    <row r="525" spans="1:9" x14ac:dyDescent="0.25">
      <c r="A525" s="146" t="s">
        <v>191</v>
      </c>
      <c r="B525" s="144">
        <v>44914</v>
      </c>
      <c r="C525" s="144">
        <v>44920</v>
      </c>
      <c r="D525" s="145">
        <v>5.0397299999999996</v>
      </c>
      <c r="E525" s="145">
        <v>4.9842000000000004</v>
      </c>
      <c r="F525" s="145" t="s">
        <v>192</v>
      </c>
      <c r="G525" s="145">
        <v>5.1716899999999999</v>
      </c>
      <c r="H525" s="145">
        <v>5.1091800000000003</v>
      </c>
      <c r="I525" s="145">
        <v>5.0889800000000003</v>
      </c>
    </row>
    <row r="526" spans="1:9" x14ac:dyDescent="0.25">
      <c r="A526" s="146" t="s">
        <v>191</v>
      </c>
      <c r="B526" s="144">
        <v>44921</v>
      </c>
      <c r="C526" s="144">
        <v>44927</v>
      </c>
      <c r="D526" s="145">
        <v>5.01145</v>
      </c>
      <c r="E526" s="145">
        <v>4.3893199999999997</v>
      </c>
      <c r="F526" s="145" t="s">
        <v>192</v>
      </c>
      <c r="G526" s="145">
        <v>5.17082</v>
      </c>
      <c r="H526" s="145">
        <v>5.0558399999999999</v>
      </c>
      <c r="I526" s="145">
        <v>4.4554</v>
      </c>
    </row>
    <row r="527" spans="1:9" x14ac:dyDescent="0.25">
      <c r="A527" s="146" t="s">
        <v>191</v>
      </c>
      <c r="B527" s="144">
        <v>44928</v>
      </c>
      <c r="C527" s="144">
        <v>44934</v>
      </c>
      <c r="D527" s="145">
        <v>5.2798800000000004</v>
      </c>
      <c r="E527" s="145">
        <v>4.37805</v>
      </c>
      <c r="F527" s="145" t="s">
        <v>192</v>
      </c>
      <c r="G527" s="145">
        <v>4.59856</v>
      </c>
      <c r="H527" s="145">
        <v>4.5714100000000002</v>
      </c>
      <c r="I527" s="145">
        <v>4.5530499999999998</v>
      </c>
    </row>
    <row r="528" spans="1:9" x14ac:dyDescent="0.25">
      <c r="A528" s="146" t="s">
        <v>191</v>
      </c>
      <c r="B528" s="144">
        <v>44935</v>
      </c>
      <c r="C528" s="144">
        <v>44941</v>
      </c>
      <c r="D528" s="145">
        <v>4.72532</v>
      </c>
      <c r="E528" s="145">
        <v>4.3901899999999996</v>
      </c>
      <c r="F528" s="145" t="s">
        <v>192</v>
      </c>
      <c r="G528" s="145">
        <v>4.5929599999999997</v>
      </c>
      <c r="H528" s="145">
        <v>4.5929900000000004</v>
      </c>
      <c r="I528" s="145">
        <v>4.5769599999999997</v>
      </c>
    </row>
    <row r="529" spans="1:9" x14ac:dyDescent="0.25">
      <c r="A529" s="146" t="s">
        <v>191</v>
      </c>
      <c r="B529" s="144">
        <v>44942</v>
      </c>
      <c r="C529" s="144">
        <v>44948</v>
      </c>
      <c r="D529" s="145">
        <v>4.85161</v>
      </c>
      <c r="E529" s="145">
        <v>4.3982400000000004</v>
      </c>
      <c r="F529" s="145" t="s">
        <v>192</v>
      </c>
      <c r="G529" s="145">
        <v>4.5978500000000002</v>
      </c>
      <c r="H529" s="145">
        <v>4.5421199999999997</v>
      </c>
      <c r="I529" s="145">
        <v>4.5315399999999997</v>
      </c>
    </row>
    <row r="530" spans="1:9" x14ac:dyDescent="0.25">
      <c r="A530" s="146" t="s">
        <v>191</v>
      </c>
      <c r="B530" s="144">
        <v>44949</v>
      </c>
      <c r="C530" s="144">
        <v>44955</v>
      </c>
      <c r="D530" s="145">
        <v>4.50244</v>
      </c>
      <c r="E530" s="145">
        <v>4.4150600000000004</v>
      </c>
      <c r="F530" s="145" t="s">
        <v>192</v>
      </c>
      <c r="G530" s="145">
        <v>4.6960899999999999</v>
      </c>
      <c r="H530" s="145">
        <v>4.5374800000000004</v>
      </c>
      <c r="I530" s="145">
        <v>4.5340100000000003</v>
      </c>
    </row>
    <row r="531" spans="1:9" x14ac:dyDescent="0.25">
      <c r="A531" s="146" t="s">
        <v>191</v>
      </c>
      <c r="B531" s="144">
        <v>44956</v>
      </c>
      <c r="C531" s="144">
        <v>44962</v>
      </c>
      <c r="D531" s="145">
        <v>5.5945400000000003</v>
      </c>
      <c r="E531" s="145">
        <v>5.0477699999999999</v>
      </c>
      <c r="F531" s="145" t="s">
        <v>192</v>
      </c>
      <c r="G531" s="145">
        <v>5.1596900000000003</v>
      </c>
      <c r="H531" s="145">
        <v>4.9919099999999998</v>
      </c>
      <c r="I531" s="145">
        <v>5.0299300000000002</v>
      </c>
    </row>
    <row r="532" spans="1:9" x14ac:dyDescent="0.25">
      <c r="A532" s="146" t="s">
        <v>191</v>
      </c>
      <c r="B532" s="144">
        <v>44963</v>
      </c>
      <c r="C532" s="144">
        <v>44969</v>
      </c>
      <c r="D532" s="145">
        <v>5.68994</v>
      </c>
      <c r="E532" s="145">
        <v>5.1784299999999996</v>
      </c>
      <c r="F532" s="145" t="s">
        <v>192</v>
      </c>
      <c r="G532" s="145">
        <v>5.3266400000000003</v>
      </c>
      <c r="H532" s="145">
        <v>5.2753500000000004</v>
      </c>
      <c r="I532" s="145">
        <v>5.2735000000000003</v>
      </c>
    </row>
    <row r="533" spans="1:9" x14ac:dyDescent="0.25">
      <c r="A533" s="146" t="s">
        <v>191</v>
      </c>
      <c r="B533" s="144">
        <v>44970</v>
      </c>
      <c r="C533" s="144">
        <v>44976</v>
      </c>
      <c r="D533" s="145">
        <v>5.6669299999999998</v>
      </c>
      <c r="E533" s="145">
        <v>5.53972</v>
      </c>
      <c r="F533" s="145" t="s">
        <v>192</v>
      </c>
      <c r="G533" s="145">
        <v>5.3421099999999999</v>
      </c>
      <c r="H533" s="145">
        <v>5.2716900000000004</v>
      </c>
      <c r="I533" s="145">
        <v>5.3514699999999999</v>
      </c>
    </row>
    <row r="534" spans="1:9" x14ac:dyDescent="0.25">
      <c r="A534" s="146" t="s">
        <v>191</v>
      </c>
      <c r="B534" s="144">
        <v>44977</v>
      </c>
      <c r="C534" s="144">
        <v>44983</v>
      </c>
      <c r="D534" s="145">
        <v>5.5429599999999999</v>
      </c>
      <c r="E534" s="145">
        <v>5.1882299999999999</v>
      </c>
      <c r="F534" s="145" t="s">
        <v>192</v>
      </c>
      <c r="G534" s="145">
        <v>5.3445900000000002</v>
      </c>
      <c r="H534" s="145">
        <v>5.2942999999999998</v>
      </c>
      <c r="I534" s="145">
        <v>5.3001800000000001</v>
      </c>
    </row>
    <row r="535" spans="1:9" x14ac:dyDescent="0.25">
      <c r="A535" s="146" t="s">
        <v>191</v>
      </c>
      <c r="B535" s="144">
        <v>44984</v>
      </c>
      <c r="C535" s="144">
        <v>44990</v>
      </c>
      <c r="D535" s="145">
        <v>5.0785299999999998</v>
      </c>
      <c r="E535" s="145">
        <v>4.516</v>
      </c>
      <c r="F535" s="145" t="s">
        <v>192</v>
      </c>
      <c r="G535" s="145">
        <v>4.8087400000000002</v>
      </c>
      <c r="H535" s="145">
        <v>4.7987500000000001</v>
      </c>
      <c r="I535" s="145">
        <v>4.7530099999999997</v>
      </c>
    </row>
    <row r="536" spans="1:9" x14ac:dyDescent="0.25">
      <c r="A536" s="146" t="s">
        <v>191</v>
      </c>
      <c r="B536" s="144">
        <v>44991</v>
      </c>
      <c r="C536" s="144">
        <v>44997</v>
      </c>
      <c r="D536" s="145">
        <v>4.8253899999999996</v>
      </c>
      <c r="E536" s="145">
        <v>4.4869599999999998</v>
      </c>
      <c r="F536" s="145" t="s">
        <v>192</v>
      </c>
      <c r="G536" s="145">
        <v>4.5997000000000003</v>
      </c>
      <c r="H536" s="145">
        <v>4.5821100000000001</v>
      </c>
      <c r="I536" s="145">
        <v>4.5825399999999998</v>
      </c>
    </row>
    <row r="537" spans="1:9" x14ac:dyDescent="0.25">
      <c r="A537" s="146" t="s">
        <v>191</v>
      </c>
      <c r="B537" s="144">
        <v>44998</v>
      </c>
      <c r="C537" s="144">
        <v>45004</v>
      </c>
      <c r="D537" s="145">
        <v>4.6225699999999996</v>
      </c>
      <c r="E537" s="145">
        <v>4.4567300000000003</v>
      </c>
      <c r="F537" s="145" t="s">
        <v>192</v>
      </c>
      <c r="G537" s="145">
        <v>4.60703</v>
      </c>
      <c r="H537" s="145">
        <v>4.56914</v>
      </c>
      <c r="I537" s="145">
        <v>4.5607499999999996</v>
      </c>
    </row>
    <row r="538" spans="1:9" x14ac:dyDescent="0.25">
      <c r="A538" s="146" t="s">
        <v>191</v>
      </c>
      <c r="B538" s="144">
        <v>45005</v>
      </c>
      <c r="C538" s="144">
        <v>45011</v>
      </c>
      <c r="D538" s="145">
        <v>4.6179199999999998</v>
      </c>
      <c r="E538" s="145">
        <v>4.4397000000000002</v>
      </c>
      <c r="F538" s="145" t="s">
        <v>192</v>
      </c>
      <c r="G538" s="145">
        <v>4.6048400000000003</v>
      </c>
      <c r="H538" s="145">
        <v>4.5681900000000004</v>
      </c>
      <c r="I538" s="145">
        <v>4.5510400000000004</v>
      </c>
    </row>
    <row r="539" spans="1:9" x14ac:dyDescent="0.25">
      <c r="A539" s="146" t="s">
        <v>191</v>
      </c>
      <c r="B539" s="144">
        <v>45012</v>
      </c>
      <c r="C539" s="144">
        <v>45018</v>
      </c>
      <c r="D539" s="145">
        <v>5.0799599999999998</v>
      </c>
      <c r="E539" s="145">
        <v>4.0504100000000003</v>
      </c>
      <c r="F539" s="145" t="s">
        <v>192</v>
      </c>
      <c r="G539" s="145">
        <v>4.5691699999999997</v>
      </c>
      <c r="H539" s="145">
        <v>4.5277500000000002</v>
      </c>
      <c r="I539" s="145">
        <v>4.4471600000000002</v>
      </c>
    </row>
    <row r="540" spans="1:9" x14ac:dyDescent="0.25">
      <c r="A540" s="146" t="s">
        <v>191</v>
      </c>
      <c r="B540" s="144">
        <v>45019</v>
      </c>
      <c r="C540" s="144">
        <v>45025</v>
      </c>
      <c r="D540" s="145">
        <v>5.0182200000000003</v>
      </c>
      <c r="E540" s="145">
        <v>4.1822800000000004</v>
      </c>
      <c r="F540" s="145" t="s">
        <v>192</v>
      </c>
      <c r="G540" s="145">
        <v>4.3796600000000003</v>
      </c>
      <c r="H540" s="145">
        <v>4.3402799999999999</v>
      </c>
      <c r="I540" s="145">
        <v>4.3262900000000002</v>
      </c>
    </row>
    <row r="541" spans="1:9" x14ac:dyDescent="0.25">
      <c r="A541" s="146" t="s">
        <v>191</v>
      </c>
      <c r="B541" s="144">
        <v>45026</v>
      </c>
      <c r="C541" s="144">
        <v>45032</v>
      </c>
      <c r="D541" s="145">
        <v>4.4102600000000001</v>
      </c>
      <c r="E541" s="145">
        <v>4.2031200000000002</v>
      </c>
      <c r="F541" s="145" t="s">
        <v>192</v>
      </c>
      <c r="G541" s="145">
        <v>4.3612299999999999</v>
      </c>
      <c r="H541" s="145">
        <v>4.3426200000000001</v>
      </c>
      <c r="I541" s="145">
        <v>4.3334099999999998</v>
      </c>
    </row>
    <row r="542" spans="1:9" x14ac:dyDescent="0.25">
      <c r="A542" s="146" t="s">
        <v>191</v>
      </c>
      <c r="B542" s="144">
        <v>45033</v>
      </c>
      <c r="C542" s="144">
        <v>45039</v>
      </c>
      <c r="D542" s="145">
        <v>4.8065600000000002</v>
      </c>
      <c r="E542" s="145">
        <v>4.1813500000000001</v>
      </c>
      <c r="F542" s="145" t="s">
        <v>192</v>
      </c>
      <c r="G542" s="145">
        <v>4.3645399999999999</v>
      </c>
      <c r="H542" s="145">
        <v>4.3106900000000001</v>
      </c>
      <c r="I542" s="145">
        <v>4.2971700000000004</v>
      </c>
    </row>
    <row r="543" spans="1:9" x14ac:dyDescent="0.25">
      <c r="A543" s="146" t="s">
        <v>191</v>
      </c>
      <c r="B543" s="144">
        <v>45040</v>
      </c>
      <c r="C543" s="144">
        <v>45046</v>
      </c>
      <c r="D543" s="145">
        <v>4.4175800000000001</v>
      </c>
      <c r="E543" s="145">
        <v>4.2220500000000003</v>
      </c>
      <c r="F543" s="145" t="s">
        <v>192</v>
      </c>
      <c r="G543" s="145">
        <v>4.3710699999999996</v>
      </c>
      <c r="H543" s="145">
        <v>4.3175100000000004</v>
      </c>
      <c r="I543" s="145">
        <v>4.3182400000000003</v>
      </c>
    </row>
    <row r="544" spans="1:9" x14ac:dyDescent="0.25">
      <c r="A544" s="146" t="s">
        <v>191</v>
      </c>
      <c r="B544" s="144">
        <v>45047</v>
      </c>
      <c r="C544" s="144">
        <v>45053</v>
      </c>
      <c r="D544" s="145">
        <v>4.1901200000000003</v>
      </c>
      <c r="E544" s="145">
        <v>3.6909700000000001</v>
      </c>
      <c r="F544" s="145" t="s">
        <v>192</v>
      </c>
      <c r="G544" s="145">
        <v>3.86449</v>
      </c>
      <c r="H544" s="145">
        <v>3.8780399999999999</v>
      </c>
      <c r="I544" s="145">
        <v>3.86016</v>
      </c>
    </row>
    <row r="545" spans="1:9" x14ac:dyDescent="0.25">
      <c r="A545" s="146" t="s">
        <v>191</v>
      </c>
      <c r="B545" s="144">
        <v>45054</v>
      </c>
      <c r="C545" s="144">
        <v>45060</v>
      </c>
      <c r="D545" s="145">
        <v>4.0550600000000001</v>
      </c>
      <c r="E545" s="145">
        <v>3.7227700000000001</v>
      </c>
      <c r="F545" s="145" t="s">
        <v>192</v>
      </c>
      <c r="G545" s="145">
        <v>3.8700399999999999</v>
      </c>
      <c r="H545" s="145">
        <v>3.8661300000000001</v>
      </c>
      <c r="I545" s="145">
        <v>3.8604699999999998</v>
      </c>
    </row>
    <row r="546" spans="1:9" x14ac:dyDescent="0.25">
      <c r="A546" s="146" t="s">
        <v>191</v>
      </c>
      <c r="B546" s="144">
        <v>45061</v>
      </c>
      <c r="C546" s="144">
        <v>45067</v>
      </c>
      <c r="D546" s="145">
        <v>4.6517400000000002</v>
      </c>
      <c r="E546" s="145">
        <v>3.7022400000000002</v>
      </c>
      <c r="F546" s="145" t="s">
        <v>192</v>
      </c>
      <c r="G546" s="145">
        <v>3.8795500000000001</v>
      </c>
      <c r="H546" s="145">
        <v>3.8551299999999999</v>
      </c>
      <c r="I546" s="145">
        <v>3.8569200000000001</v>
      </c>
    </row>
    <row r="547" spans="1:9" x14ac:dyDescent="0.25">
      <c r="A547" s="146" t="s">
        <v>191</v>
      </c>
      <c r="B547" s="144">
        <v>45068</v>
      </c>
      <c r="C547" s="144">
        <v>45074</v>
      </c>
      <c r="D547" s="145">
        <v>4.0421899999999997</v>
      </c>
      <c r="E547" s="145">
        <v>3.7013799999999999</v>
      </c>
      <c r="F547" s="145" t="s">
        <v>192</v>
      </c>
      <c r="G547" s="145">
        <v>3.8843299999999998</v>
      </c>
      <c r="H547" s="145">
        <v>3.8256800000000002</v>
      </c>
      <c r="I547" s="145">
        <v>3.8298999999999999</v>
      </c>
    </row>
    <row r="548" spans="1:9" x14ac:dyDescent="0.25">
      <c r="A548" s="146" t="s">
        <v>191</v>
      </c>
      <c r="B548" s="144">
        <v>45075</v>
      </c>
      <c r="C548" s="144">
        <v>45081</v>
      </c>
      <c r="D548" s="145">
        <v>3.7896200000000002</v>
      </c>
      <c r="E548" s="145">
        <v>3.6091700000000002</v>
      </c>
      <c r="F548" s="145" t="s">
        <v>192</v>
      </c>
      <c r="G548" s="145">
        <v>3.57219</v>
      </c>
      <c r="H548" s="145">
        <v>3.5859000000000001</v>
      </c>
      <c r="I548" s="145">
        <v>3.59592</v>
      </c>
    </row>
    <row r="549" spans="1:9" x14ac:dyDescent="0.25">
      <c r="A549" s="146" t="s">
        <v>191</v>
      </c>
      <c r="B549" s="144">
        <v>45082</v>
      </c>
      <c r="C549" s="144">
        <v>45088</v>
      </c>
      <c r="D549" s="145">
        <v>3.4193099999999998</v>
      </c>
      <c r="E549" s="145">
        <v>3.2262400000000002</v>
      </c>
      <c r="F549" s="145" t="s">
        <v>192</v>
      </c>
      <c r="G549" s="145">
        <v>3.3932699999999998</v>
      </c>
      <c r="H549" s="145">
        <v>3.41893</v>
      </c>
      <c r="I549" s="145">
        <v>3.3962599999999998</v>
      </c>
    </row>
    <row r="550" spans="1:9" x14ac:dyDescent="0.25">
      <c r="A550" s="146" t="s">
        <v>191</v>
      </c>
      <c r="B550" s="144">
        <v>45089</v>
      </c>
      <c r="C550" s="144">
        <v>45095</v>
      </c>
      <c r="D550" s="145">
        <v>3.4209999999999998</v>
      </c>
      <c r="E550" s="145">
        <v>3.24037</v>
      </c>
      <c r="F550" s="145" t="s">
        <v>192</v>
      </c>
      <c r="G550" s="145">
        <v>3.38341</v>
      </c>
      <c r="H550" s="145">
        <v>3.3869199999999999</v>
      </c>
      <c r="I550" s="145">
        <v>3.37479</v>
      </c>
    </row>
    <row r="551" spans="1:9" x14ac:dyDescent="0.25">
      <c r="A551" s="146" t="s">
        <v>191</v>
      </c>
      <c r="B551" s="144">
        <v>45096</v>
      </c>
      <c r="C551" s="144">
        <v>45102</v>
      </c>
      <c r="D551" s="145">
        <v>3.3229899999999999</v>
      </c>
      <c r="E551" s="145">
        <v>3.2155100000000001</v>
      </c>
      <c r="F551" s="145" t="s">
        <v>192</v>
      </c>
      <c r="G551" s="145">
        <v>3.3892699999999998</v>
      </c>
      <c r="H551" s="145">
        <v>3.3437399999999999</v>
      </c>
      <c r="I551" s="145">
        <v>3.32517</v>
      </c>
    </row>
    <row r="552" spans="1:9" x14ac:dyDescent="0.25">
      <c r="A552" s="146" t="s">
        <v>191</v>
      </c>
      <c r="B552" s="144">
        <v>45103</v>
      </c>
      <c r="C552" s="144">
        <v>45109</v>
      </c>
      <c r="D552" s="145">
        <v>3.4554299999999998</v>
      </c>
      <c r="E552" s="145">
        <v>2.9460500000000001</v>
      </c>
      <c r="F552" s="145" t="s">
        <v>192</v>
      </c>
      <c r="G552" s="145">
        <v>3.4218299999999999</v>
      </c>
      <c r="H552" s="145">
        <v>3.42544</v>
      </c>
      <c r="I552" s="145">
        <v>3.3437700000000001</v>
      </c>
    </row>
    <row r="553" spans="1:9" x14ac:dyDescent="0.25">
      <c r="A553" s="146" t="s">
        <v>191</v>
      </c>
      <c r="B553" s="144">
        <v>45110</v>
      </c>
      <c r="C553" s="144">
        <v>45116</v>
      </c>
      <c r="D553" s="145">
        <v>3.4077899999999999</v>
      </c>
      <c r="E553" s="145">
        <v>3.3407200000000001</v>
      </c>
      <c r="F553" s="145">
        <v>3.4756100000000001</v>
      </c>
      <c r="G553" s="145">
        <v>3.4871300000000001</v>
      </c>
      <c r="H553" s="145">
        <v>3.4666000000000001</v>
      </c>
      <c r="I553" s="145">
        <v>3.4388200000000002</v>
      </c>
    </row>
    <row r="554" spans="1:9" x14ac:dyDescent="0.25">
      <c r="A554" s="146" t="s">
        <v>191</v>
      </c>
      <c r="B554" s="144">
        <v>45117</v>
      </c>
      <c r="C554" s="144">
        <v>45123</v>
      </c>
      <c r="D554" s="145">
        <v>3.40761</v>
      </c>
      <c r="E554" s="145">
        <v>3.33894</v>
      </c>
      <c r="F554" s="145">
        <v>3.46638</v>
      </c>
      <c r="G554" s="145">
        <v>3.4642200000000001</v>
      </c>
      <c r="H554" s="145">
        <v>3.4557799999999999</v>
      </c>
      <c r="I554" s="145">
        <v>3.4516399999999998</v>
      </c>
    </row>
    <row r="555" spans="1:9" x14ac:dyDescent="0.25">
      <c r="A555" s="146" t="s">
        <v>191</v>
      </c>
      <c r="B555" s="144">
        <v>45124</v>
      </c>
      <c r="C555" s="144">
        <v>45130</v>
      </c>
      <c r="D555" s="145">
        <v>3.4460899999999999</v>
      </c>
      <c r="E555" s="145">
        <v>3.3949400000000001</v>
      </c>
      <c r="F555" s="145">
        <v>3.4636200000000001</v>
      </c>
      <c r="G555" s="145">
        <v>3.4915699999999998</v>
      </c>
      <c r="H555" s="145">
        <v>3.3975399999999998</v>
      </c>
      <c r="I555" s="145">
        <v>3.4104399999999999</v>
      </c>
    </row>
    <row r="556" spans="1:9" x14ac:dyDescent="0.25">
      <c r="A556" s="146" t="s">
        <v>191</v>
      </c>
      <c r="B556" s="144">
        <v>45131</v>
      </c>
      <c r="C556" s="144">
        <v>45137</v>
      </c>
      <c r="D556" s="145">
        <v>3.40801</v>
      </c>
      <c r="E556" s="145">
        <v>3.3537400000000002</v>
      </c>
      <c r="F556" s="145">
        <v>3.47654</v>
      </c>
      <c r="G556" s="145">
        <v>3.4911099999999999</v>
      </c>
      <c r="H556" s="145">
        <v>3.3993699999999998</v>
      </c>
      <c r="I556" s="145">
        <v>3.4059699999999999</v>
      </c>
    </row>
    <row r="557" spans="1:9" x14ac:dyDescent="0.25">
      <c r="A557" s="146" t="s">
        <v>191</v>
      </c>
      <c r="B557" s="144">
        <v>45138</v>
      </c>
      <c r="C557" s="144">
        <v>45144</v>
      </c>
      <c r="D557" s="145">
        <v>3.6497199999999999</v>
      </c>
      <c r="E557" s="145">
        <v>3.47465</v>
      </c>
      <c r="F557" s="145">
        <v>3.6113200000000001</v>
      </c>
      <c r="G557" s="145">
        <v>3.61151</v>
      </c>
      <c r="H557" s="145">
        <v>3.57009</v>
      </c>
      <c r="I557" s="145">
        <v>3.5601600000000002</v>
      </c>
    </row>
    <row r="558" spans="1:9" x14ac:dyDescent="0.25">
      <c r="A558" s="146" t="s">
        <v>191</v>
      </c>
      <c r="B558" s="144">
        <v>45145</v>
      </c>
      <c r="C558" s="144">
        <v>45151</v>
      </c>
      <c r="D558" s="145">
        <v>3.6189200000000001</v>
      </c>
      <c r="E558" s="145">
        <v>3.4679799999999998</v>
      </c>
      <c r="F558" s="145">
        <v>3.6014300000000001</v>
      </c>
      <c r="G558" s="145">
        <v>3.6390600000000002</v>
      </c>
      <c r="H558" s="145">
        <v>3.57816</v>
      </c>
      <c r="I558" s="145">
        <v>3.5778400000000001</v>
      </c>
    </row>
    <row r="559" spans="1:9" x14ac:dyDescent="0.25">
      <c r="A559" s="146" t="s">
        <v>191</v>
      </c>
      <c r="B559" s="144">
        <v>45152</v>
      </c>
      <c r="C559" s="144">
        <v>45158</v>
      </c>
      <c r="D559" s="145">
        <v>3.6499899999999998</v>
      </c>
      <c r="E559" s="145">
        <v>3.2507199999999998</v>
      </c>
      <c r="F559" s="145">
        <v>3.5975799999999998</v>
      </c>
      <c r="G559" s="145">
        <v>3.63489</v>
      </c>
      <c r="H559" s="145">
        <v>3.5797300000000001</v>
      </c>
      <c r="I559" s="145">
        <v>3.50603</v>
      </c>
    </row>
    <row r="560" spans="1:9" x14ac:dyDescent="0.25">
      <c r="A560" s="146" t="s">
        <v>191</v>
      </c>
      <c r="B560" s="144">
        <v>45159</v>
      </c>
      <c r="C560" s="144">
        <v>45165</v>
      </c>
      <c r="D560" s="145">
        <v>3.6225299999999998</v>
      </c>
      <c r="E560" s="145">
        <v>3.5028100000000002</v>
      </c>
      <c r="F560" s="145">
        <v>3.6188199999999999</v>
      </c>
      <c r="G560" s="145">
        <v>3.6369899999999999</v>
      </c>
      <c r="H560" s="145">
        <v>3.5430100000000002</v>
      </c>
      <c r="I560" s="145">
        <v>3.5528400000000002</v>
      </c>
    </row>
    <row r="561" spans="1:9" x14ac:dyDescent="0.25">
      <c r="A561" s="146" t="s">
        <v>191</v>
      </c>
      <c r="B561" s="144">
        <v>45166</v>
      </c>
      <c r="C561" s="144">
        <v>45172</v>
      </c>
      <c r="D561" s="145">
        <v>3.9763199999999999</v>
      </c>
      <c r="E561" s="145">
        <v>3.7836699999999999</v>
      </c>
      <c r="F561" s="145">
        <v>3.6553900000000001</v>
      </c>
      <c r="G561" s="145">
        <v>4.04765</v>
      </c>
      <c r="H561" s="145">
        <v>3.9445299999999999</v>
      </c>
      <c r="I561" s="145">
        <v>3.9205299999999998</v>
      </c>
    </row>
    <row r="562" spans="1:9" x14ac:dyDescent="0.25">
      <c r="A562" s="146" t="s">
        <v>191</v>
      </c>
      <c r="B562" s="144">
        <v>45173</v>
      </c>
      <c r="C562" s="144">
        <v>45179</v>
      </c>
      <c r="D562" s="145">
        <v>4.3609099999999996</v>
      </c>
      <c r="E562" s="145">
        <v>4.2259399999999996</v>
      </c>
      <c r="F562" s="145">
        <v>4.3645899999999997</v>
      </c>
      <c r="G562" s="145">
        <v>4.36951</v>
      </c>
      <c r="H562" s="145">
        <v>4.2780699999999996</v>
      </c>
      <c r="I562" s="145">
        <v>4.2867699999999997</v>
      </c>
    </row>
    <row r="563" spans="1:9" x14ac:dyDescent="0.25">
      <c r="A563" s="146" t="s">
        <v>191</v>
      </c>
      <c r="B563" s="144">
        <v>45180</v>
      </c>
      <c r="C563" s="144">
        <v>45186</v>
      </c>
      <c r="D563" s="145">
        <v>4.3399000000000001</v>
      </c>
      <c r="E563" s="145">
        <v>4.2338699999999996</v>
      </c>
      <c r="F563" s="145">
        <v>4.3397399999999999</v>
      </c>
      <c r="G563" s="145">
        <v>4.3820399999999999</v>
      </c>
      <c r="H563" s="145">
        <v>4.2740400000000003</v>
      </c>
      <c r="I563" s="145">
        <v>4.2799199999999997</v>
      </c>
    </row>
    <row r="564" spans="1:9" x14ac:dyDescent="0.25">
      <c r="A564" s="146" t="s">
        <v>191</v>
      </c>
      <c r="B564" s="144">
        <v>45187</v>
      </c>
      <c r="C564" s="144">
        <v>45193</v>
      </c>
      <c r="D564" s="145">
        <v>4.4116400000000002</v>
      </c>
      <c r="E564" s="145">
        <v>4.2290700000000001</v>
      </c>
      <c r="F564" s="145">
        <v>4.3572100000000002</v>
      </c>
      <c r="G564" s="145">
        <v>4.3695199999999996</v>
      </c>
      <c r="H564" s="145">
        <v>4.2785399999999996</v>
      </c>
      <c r="I564" s="145">
        <v>4.2871800000000002</v>
      </c>
    </row>
    <row r="565" spans="1:9" x14ac:dyDescent="0.25">
      <c r="A565" s="146" t="s">
        <v>191</v>
      </c>
      <c r="B565" s="144">
        <v>45194</v>
      </c>
      <c r="C565" s="144">
        <v>45200</v>
      </c>
      <c r="D565" s="145">
        <v>4.3439199999999998</v>
      </c>
      <c r="E565" s="145">
        <v>4.1241099999999999</v>
      </c>
      <c r="F565" s="145">
        <v>4.3557199999999998</v>
      </c>
      <c r="G565" s="145">
        <v>4.4594800000000001</v>
      </c>
      <c r="H565" s="145">
        <v>4.3243200000000002</v>
      </c>
      <c r="I565" s="145">
        <v>4.3057400000000001</v>
      </c>
    </row>
    <row r="566" spans="1:9" x14ac:dyDescent="0.25">
      <c r="A566" s="146" t="s">
        <v>191</v>
      </c>
      <c r="B566" s="144">
        <v>45201</v>
      </c>
      <c r="C566" s="144">
        <v>45207</v>
      </c>
      <c r="D566" s="145">
        <v>4.6849999999999996</v>
      </c>
      <c r="E566" s="145">
        <v>4.4852100000000004</v>
      </c>
      <c r="F566" s="145">
        <v>4.5852899999999996</v>
      </c>
      <c r="G566" s="145">
        <v>4.5977600000000001</v>
      </c>
      <c r="H566" s="145">
        <v>4.4187399999999997</v>
      </c>
      <c r="I566" s="145">
        <v>4.45099</v>
      </c>
    </row>
    <row r="567" spans="1:9" x14ac:dyDescent="0.25">
      <c r="A567" s="146" t="s">
        <v>191</v>
      </c>
      <c r="B567" s="144">
        <v>45208</v>
      </c>
      <c r="C567" s="144">
        <v>45214</v>
      </c>
      <c r="D567" s="145">
        <v>4.5939500000000004</v>
      </c>
      <c r="E567" s="145">
        <v>4.4368800000000004</v>
      </c>
      <c r="F567" s="145">
        <v>4.5565699999999998</v>
      </c>
      <c r="G567" s="145">
        <v>4.6005200000000004</v>
      </c>
      <c r="H567" s="145">
        <v>4.4536499999999997</v>
      </c>
      <c r="I567" s="145">
        <v>4.47384</v>
      </c>
    </row>
    <row r="568" spans="1:9" x14ac:dyDescent="0.25">
      <c r="A568" s="146" t="s">
        <v>191</v>
      </c>
      <c r="B568" s="144">
        <v>45215</v>
      </c>
      <c r="C568" s="144">
        <v>45221</v>
      </c>
      <c r="D568" s="145">
        <v>4.6477000000000004</v>
      </c>
      <c r="E568" s="145">
        <v>4.4919500000000001</v>
      </c>
      <c r="F568" s="145">
        <v>4.5782299999999996</v>
      </c>
      <c r="G568" s="145">
        <v>4.6065399999999999</v>
      </c>
      <c r="H568" s="145">
        <v>4.4823199999999996</v>
      </c>
      <c r="I568" s="145">
        <v>4.50284</v>
      </c>
    </row>
    <row r="569" spans="1:9" x14ac:dyDescent="0.25">
      <c r="A569" s="146" t="s">
        <v>191</v>
      </c>
      <c r="B569" s="144">
        <v>45222</v>
      </c>
      <c r="C569" s="144">
        <v>45228</v>
      </c>
      <c r="D569" s="145">
        <v>4.1631400000000003</v>
      </c>
      <c r="E569" s="145">
        <v>4.5453900000000003</v>
      </c>
      <c r="F569" s="145">
        <v>4.5852899999999996</v>
      </c>
      <c r="G569" s="145">
        <v>4.5961800000000004</v>
      </c>
      <c r="H569" s="145">
        <v>4.5127100000000002</v>
      </c>
      <c r="I569" s="145">
        <v>4.4785899999999996</v>
      </c>
    </row>
    <row r="570" spans="1:9" x14ac:dyDescent="0.25">
      <c r="A570" s="146" t="s">
        <v>191</v>
      </c>
      <c r="B570" s="144">
        <v>45229</v>
      </c>
      <c r="C570" s="144">
        <v>45235</v>
      </c>
      <c r="D570" s="145">
        <v>4.57613</v>
      </c>
      <c r="E570" s="145">
        <v>4.3528200000000004</v>
      </c>
      <c r="F570" s="145">
        <v>4.5337699999999996</v>
      </c>
      <c r="G570" s="145">
        <v>4.4892599999999998</v>
      </c>
      <c r="H570" s="145">
        <v>4.4439200000000003</v>
      </c>
      <c r="I570" s="145">
        <v>4.4370700000000003</v>
      </c>
    </row>
    <row r="571" spans="1:9" x14ac:dyDescent="0.25">
      <c r="A571" s="146" t="s">
        <v>191</v>
      </c>
      <c r="B571" s="144">
        <v>45236</v>
      </c>
      <c r="C571" s="144">
        <v>45242</v>
      </c>
      <c r="D571" s="145">
        <v>4.5026900000000003</v>
      </c>
      <c r="E571" s="145">
        <v>4.36632</v>
      </c>
      <c r="F571" s="145">
        <v>4.4630799999999997</v>
      </c>
      <c r="G571" s="145">
        <v>4.48292</v>
      </c>
      <c r="H571" s="145">
        <v>4.3811200000000001</v>
      </c>
      <c r="I571" s="145">
        <v>4.3958399999999997</v>
      </c>
    </row>
    <row r="572" spans="1:9" x14ac:dyDescent="0.25">
      <c r="A572" s="146" t="s">
        <v>191</v>
      </c>
      <c r="B572" s="144">
        <v>45243</v>
      </c>
      <c r="C572" s="144">
        <v>45249</v>
      </c>
      <c r="D572" s="145">
        <v>4.5806100000000001</v>
      </c>
      <c r="E572" s="145">
        <v>4.1264200000000004</v>
      </c>
      <c r="F572" s="145">
        <v>4.4773500000000004</v>
      </c>
      <c r="G572" s="145">
        <v>4.4937399999999998</v>
      </c>
      <c r="H572" s="145">
        <v>4.37791</v>
      </c>
      <c r="I572" s="145">
        <v>4.3394000000000004</v>
      </c>
    </row>
    <row r="573" spans="1:9" x14ac:dyDescent="0.25">
      <c r="A573" s="146" t="s">
        <v>191</v>
      </c>
      <c r="B573" s="144">
        <v>45250</v>
      </c>
      <c r="C573" s="144">
        <v>45256</v>
      </c>
      <c r="D573" s="145">
        <v>4.5342500000000001</v>
      </c>
      <c r="E573" s="145">
        <v>4.3309600000000001</v>
      </c>
      <c r="F573" s="145">
        <v>4.4917699999999998</v>
      </c>
      <c r="G573" s="145">
        <v>4.4948499999999996</v>
      </c>
      <c r="H573" s="145">
        <v>4.4165799999999997</v>
      </c>
      <c r="I573" s="145">
        <v>4.415</v>
      </c>
    </row>
    <row r="574" spans="1:9" x14ac:dyDescent="0.25">
      <c r="A574" s="146" t="s">
        <v>191</v>
      </c>
      <c r="B574" s="144">
        <v>45257</v>
      </c>
      <c r="C574" s="144">
        <v>45263</v>
      </c>
      <c r="D574" s="145">
        <v>4.2389999999999999</v>
      </c>
      <c r="E574" s="145">
        <v>4.3226199999999997</v>
      </c>
      <c r="F574" s="145">
        <v>4.4917699999999998</v>
      </c>
      <c r="G574" s="145">
        <v>4.51546</v>
      </c>
      <c r="H574" s="145">
        <v>4.3994</v>
      </c>
      <c r="I574" s="145">
        <v>4.3988199999999997</v>
      </c>
    </row>
    <row r="575" spans="1:9" x14ac:dyDescent="0.25">
      <c r="A575" s="146" t="s">
        <v>191</v>
      </c>
      <c r="B575" s="144">
        <v>45264</v>
      </c>
      <c r="C575" s="144">
        <v>45270</v>
      </c>
      <c r="D575" s="145">
        <v>4.2521100000000001</v>
      </c>
      <c r="E575" s="145">
        <v>4.0933700000000002</v>
      </c>
      <c r="F575" s="145">
        <v>4.20078</v>
      </c>
      <c r="G575" s="145">
        <v>4.2360800000000003</v>
      </c>
      <c r="H575" s="145">
        <v>4.10562</v>
      </c>
      <c r="I575" s="145">
        <v>4.12148</v>
      </c>
    </row>
    <row r="576" spans="1:9" x14ac:dyDescent="0.25">
      <c r="A576" s="146" t="s">
        <v>191</v>
      </c>
      <c r="B576" s="144">
        <v>45271</v>
      </c>
      <c r="C576" s="144">
        <v>45277</v>
      </c>
      <c r="D576" s="145">
        <v>4.2160099999999998</v>
      </c>
      <c r="E576" s="145">
        <v>3.83142</v>
      </c>
      <c r="F576" s="145">
        <v>4.2239399999999998</v>
      </c>
      <c r="G576" s="145">
        <v>4.2329999999999997</v>
      </c>
      <c r="H576" s="145">
        <v>4.1285299999999996</v>
      </c>
      <c r="I576" s="145">
        <v>4.0841000000000003</v>
      </c>
    </row>
    <row r="577" spans="1:9" x14ac:dyDescent="0.25">
      <c r="A577" s="146" t="s">
        <v>191</v>
      </c>
      <c r="B577" s="144">
        <v>45278</v>
      </c>
      <c r="C577" s="144">
        <v>45284</v>
      </c>
      <c r="D577" s="145">
        <v>4.2463100000000003</v>
      </c>
      <c r="E577" s="145">
        <v>4.1423100000000002</v>
      </c>
      <c r="F577" s="145">
        <v>4.2319000000000004</v>
      </c>
      <c r="G577" s="145">
        <v>4.23834</v>
      </c>
      <c r="H577" s="145">
        <v>4.1559400000000002</v>
      </c>
      <c r="I577" s="145">
        <v>4.1729700000000003</v>
      </c>
    </row>
    <row r="578" spans="1:9" x14ac:dyDescent="0.25">
      <c r="A578" s="146" t="s">
        <v>191</v>
      </c>
      <c r="B578" s="144">
        <v>45285</v>
      </c>
      <c r="C578" s="144">
        <v>45291</v>
      </c>
      <c r="D578" s="145" t="s">
        <v>192</v>
      </c>
      <c r="E578" s="145">
        <v>3.66195</v>
      </c>
      <c r="F578" s="145">
        <v>4.2299699999999998</v>
      </c>
      <c r="G578" s="145">
        <v>4.2409600000000003</v>
      </c>
      <c r="H578" s="145">
        <v>4.1562799999999998</v>
      </c>
      <c r="I578" s="145">
        <v>4.0621400000000003</v>
      </c>
    </row>
    <row r="579" spans="1:9" x14ac:dyDescent="0.25">
      <c r="A579" s="146" t="s">
        <v>191</v>
      </c>
      <c r="B579" s="144">
        <v>45292</v>
      </c>
      <c r="C579" s="144">
        <v>45298</v>
      </c>
      <c r="D579" s="145">
        <v>3.8340999999999998</v>
      </c>
      <c r="E579" s="145">
        <v>3.69651</v>
      </c>
      <c r="F579" s="145">
        <v>3.83684</v>
      </c>
      <c r="G579" s="145">
        <v>3.8390499999999999</v>
      </c>
      <c r="H579" s="145">
        <v>3.7423000000000002</v>
      </c>
      <c r="I579" s="145">
        <v>3.7496999999999998</v>
      </c>
    </row>
    <row r="580" spans="1:9" x14ac:dyDescent="0.25">
      <c r="A580" s="146" t="s">
        <v>191</v>
      </c>
      <c r="B580" s="144">
        <v>45299</v>
      </c>
      <c r="C580" s="144">
        <v>45305</v>
      </c>
      <c r="D580" s="145">
        <v>3.7881800000000001</v>
      </c>
      <c r="E580" s="145">
        <v>3.3558400000000002</v>
      </c>
      <c r="F580" s="145">
        <v>3.8179500000000002</v>
      </c>
      <c r="G580" s="145">
        <v>3.8450500000000001</v>
      </c>
      <c r="H580" s="145">
        <v>3.7458399999999998</v>
      </c>
      <c r="I580" s="145">
        <v>3.69679</v>
      </c>
    </row>
    <row r="581" spans="1:9" x14ac:dyDescent="0.25">
      <c r="A581" s="146" t="s">
        <v>191</v>
      </c>
      <c r="B581" s="144">
        <v>45306</v>
      </c>
      <c r="C581" s="144">
        <v>45312</v>
      </c>
      <c r="D581" s="145">
        <v>3.8599800000000002</v>
      </c>
      <c r="E581" s="145">
        <v>3.68452</v>
      </c>
      <c r="F581" s="145">
        <v>3.8261400000000001</v>
      </c>
      <c r="G581" s="145">
        <v>3.8374899999999998</v>
      </c>
      <c r="H581" s="145">
        <v>3.7484899999999999</v>
      </c>
      <c r="I581" s="145">
        <v>3.7517100000000001</v>
      </c>
    </row>
    <row r="582" spans="1:9" x14ac:dyDescent="0.25">
      <c r="A582" s="146" t="s">
        <v>191</v>
      </c>
      <c r="B582" s="144">
        <v>45313</v>
      </c>
      <c r="C582" s="144">
        <v>45319</v>
      </c>
      <c r="D582" s="145">
        <v>3.8696000000000002</v>
      </c>
      <c r="E582" s="145">
        <v>3.6692100000000001</v>
      </c>
      <c r="F582" s="145">
        <v>3.83684</v>
      </c>
      <c r="G582" s="145">
        <v>3.8529399999999998</v>
      </c>
      <c r="H582" s="145">
        <v>3.7608299999999999</v>
      </c>
      <c r="I582" s="145">
        <v>3.7582399999999998</v>
      </c>
    </row>
    <row r="583" spans="1:9" x14ac:dyDescent="0.25">
      <c r="A583" s="146" t="s">
        <v>191</v>
      </c>
      <c r="B583" s="144">
        <v>45320</v>
      </c>
      <c r="C583" s="144">
        <v>45326</v>
      </c>
      <c r="D583" s="145">
        <v>3.79644</v>
      </c>
      <c r="E583" s="145">
        <v>3.7175600000000002</v>
      </c>
      <c r="F583" s="145">
        <v>3.8217599999999998</v>
      </c>
      <c r="G583" s="145">
        <v>3.84375</v>
      </c>
      <c r="H583" s="145">
        <v>3.7261000000000002</v>
      </c>
      <c r="I583" s="145">
        <v>3.74207</v>
      </c>
    </row>
    <row r="584" spans="1:9" x14ac:dyDescent="0.25">
      <c r="A584" s="146" t="s">
        <v>191</v>
      </c>
      <c r="B584" s="144">
        <v>45327</v>
      </c>
      <c r="C584" s="144">
        <v>45333</v>
      </c>
      <c r="D584" s="145" t="s">
        <v>192</v>
      </c>
      <c r="E584" s="145">
        <v>3.5027900000000001</v>
      </c>
      <c r="F584" s="145">
        <v>3.80674</v>
      </c>
      <c r="G584" s="145">
        <v>3.8062</v>
      </c>
      <c r="H584" s="145">
        <v>3.7261799999999998</v>
      </c>
      <c r="I584" s="145">
        <v>3.67639</v>
      </c>
    </row>
    <row r="585" spans="1:9" x14ac:dyDescent="0.25">
      <c r="A585" s="146" t="s">
        <v>191</v>
      </c>
      <c r="B585" s="144">
        <v>45334</v>
      </c>
      <c r="C585" s="144">
        <v>45340</v>
      </c>
      <c r="D585" s="145">
        <v>3.8176800000000002</v>
      </c>
      <c r="E585" s="145">
        <v>3.6861100000000002</v>
      </c>
      <c r="F585" s="145">
        <v>3.7946399999999998</v>
      </c>
      <c r="G585" s="145">
        <v>3.8148499999999999</v>
      </c>
      <c r="H585" s="145">
        <v>3.7368899999999998</v>
      </c>
      <c r="I585" s="145">
        <v>3.74553</v>
      </c>
    </row>
    <row r="586" spans="1:9" x14ac:dyDescent="0.25">
      <c r="A586" s="146" t="s">
        <v>191</v>
      </c>
      <c r="B586" s="144">
        <v>45341</v>
      </c>
      <c r="C586" s="144">
        <v>45347</v>
      </c>
      <c r="D586" s="145">
        <v>3.8959999999999999</v>
      </c>
      <c r="E586" s="145">
        <v>3.6739099999999998</v>
      </c>
      <c r="F586" s="145">
        <v>3.80552</v>
      </c>
      <c r="G586" s="145">
        <v>3.8453400000000002</v>
      </c>
      <c r="H586" s="145">
        <v>3.7444299999999999</v>
      </c>
      <c r="I586" s="145">
        <v>3.7390099999999999</v>
      </c>
    </row>
    <row r="587" spans="1:9" x14ac:dyDescent="0.25">
      <c r="A587" s="146" t="s">
        <v>191</v>
      </c>
      <c r="B587" s="144">
        <v>45348</v>
      </c>
      <c r="C587" s="144">
        <v>45354</v>
      </c>
      <c r="D587" s="145">
        <v>3.7075399999999998</v>
      </c>
      <c r="E587" s="145">
        <v>3.70479</v>
      </c>
      <c r="F587" s="145">
        <v>3.8480400000000001</v>
      </c>
      <c r="G587" s="145">
        <v>3.9464999999999999</v>
      </c>
      <c r="H587" s="145">
        <v>3.83311</v>
      </c>
      <c r="I587" s="145">
        <v>3.8107799999999998</v>
      </c>
    </row>
    <row r="588" spans="1:9" x14ac:dyDescent="0.25">
      <c r="A588" s="146" t="s">
        <v>191</v>
      </c>
      <c r="B588" s="144">
        <v>45355</v>
      </c>
      <c r="C588" s="144">
        <v>45361</v>
      </c>
      <c r="D588" s="145">
        <v>4.0925700000000003</v>
      </c>
      <c r="E588" s="145">
        <v>3.9358300000000002</v>
      </c>
      <c r="F588" s="145">
        <v>4.1204299999999998</v>
      </c>
      <c r="G588" s="145">
        <v>4.1376499999999998</v>
      </c>
      <c r="H588" s="145">
        <v>4.0199600000000002</v>
      </c>
      <c r="I588" s="145">
        <v>4.0218699999999998</v>
      </c>
    </row>
    <row r="589" spans="1:9" x14ac:dyDescent="0.25">
      <c r="A589" s="146" t="s">
        <v>191</v>
      </c>
      <c r="B589" s="144">
        <v>45362</v>
      </c>
      <c r="C589" s="144">
        <v>45368</v>
      </c>
      <c r="D589" s="145">
        <v>4.0837599999999998</v>
      </c>
      <c r="E589" s="145">
        <v>3.7720699999999998</v>
      </c>
      <c r="F589" s="145">
        <v>4.1087199999999999</v>
      </c>
      <c r="G589" s="145">
        <v>4.13809</v>
      </c>
      <c r="H589" s="145">
        <v>4.0189399999999997</v>
      </c>
      <c r="I589" s="145">
        <v>3.9740899999999999</v>
      </c>
    </row>
    <row r="590" spans="1:9" x14ac:dyDescent="0.25">
      <c r="A590" s="146" t="s">
        <v>191</v>
      </c>
      <c r="B590" s="144">
        <v>45369</v>
      </c>
      <c r="C590" s="144">
        <v>45375</v>
      </c>
      <c r="D590" s="145">
        <v>4.1993400000000003</v>
      </c>
      <c r="E590" s="145">
        <v>3.9167999999999998</v>
      </c>
      <c r="F590" s="145">
        <v>4.0910000000000002</v>
      </c>
      <c r="G590" s="145">
        <v>4.1399999999999997</v>
      </c>
      <c r="H590" s="145">
        <v>4.0425300000000002</v>
      </c>
      <c r="I590" s="145">
        <v>4.0516399999999999</v>
      </c>
    </row>
    <row r="591" spans="1:9" x14ac:dyDescent="0.25">
      <c r="A591" s="146" t="s">
        <v>191</v>
      </c>
      <c r="B591" s="144">
        <v>45376</v>
      </c>
      <c r="C591" s="144">
        <v>45382</v>
      </c>
      <c r="D591" s="145">
        <v>4.1078799999999998</v>
      </c>
      <c r="E591" s="145">
        <v>3.96488</v>
      </c>
      <c r="F591" s="145">
        <v>4.11998</v>
      </c>
      <c r="G591" s="145">
        <v>4.1388999999999996</v>
      </c>
      <c r="H591" s="145">
        <v>4.0447600000000001</v>
      </c>
      <c r="I591" s="145">
        <v>4.0550800000000002</v>
      </c>
    </row>
    <row r="592" spans="1:9" x14ac:dyDescent="0.25">
      <c r="A592" s="146" t="s">
        <v>191</v>
      </c>
      <c r="B592" s="144">
        <v>45383</v>
      </c>
      <c r="C592" s="144">
        <v>45389</v>
      </c>
      <c r="D592" s="145">
        <v>4.0780000000000003</v>
      </c>
      <c r="E592" s="145">
        <v>3.96902</v>
      </c>
      <c r="F592" s="145">
        <v>4.0670299999999999</v>
      </c>
      <c r="G592" s="145">
        <v>4.0867699999999996</v>
      </c>
      <c r="H592" s="145">
        <v>3.9837500000000001</v>
      </c>
      <c r="I592" s="145">
        <v>3.9913699999999999</v>
      </c>
    </row>
    <row r="593" spans="1:9" x14ac:dyDescent="0.25">
      <c r="A593" s="146" t="s">
        <v>191</v>
      </c>
      <c r="B593" s="144">
        <v>45390</v>
      </c>
      <c r="C593" s="144">
        <v>45396</v>
      </c>
      <c r="D593" s="145">
        <v>4.0232400000000004</v>
      </c>
      <c r="E593" s="145">
        <v>3.72559</v>
      </c>
      <c r="F593" s="145">
        <v>4.0670299999999999</v>
      </c>
      <c r="G593" s="145">
        <v>4.1168899999999997</v>
      </c>
      <c r="H593" s="145">
        <v>3.9710999999999999</v>
      </c>
      <c r="I593" s="145">
        <v>3.9236499999999999</v>
      </c>
    </row>
    <row r="594" spans="1:9" x14ac:dyDescent="0.25">
      <c r="A594" s="146" t="s">
        <v>191</v>
      </c>
      <c r="B594" s="144">
        <v>45397</v>
      </c>
      <c r="C594" s="144">
        <v>45403</v>
      </c>
      <c r="D594" s="145">
        <v>4.1120000000000001</v>
      </c>
      <c r="E594" s="145">
        <v>3.93161</v>
      </c>
      <c r="F594" s="145">
        <v>4.0670299999999999</v>
      </c>
      <c r="G594" s="145">
        <v>4.0578399999999997</v>
      </c>
      <c r="H594" s="145">
        <v>3.9835799999999999</v>
      </c>
      <c r="I594" s="145">
        <v>3.9866100000000002</v>
      </c>
    </row>
    <row r="595" spans="1:9" x14ac:dyDescent="0.25">
      <c r="A595" s="146" t="s">
        <v>191</v>
      </c>
      <c r="B595" s="144">
        <v>45404</v>
      </c>
      <c r="C595" s="144">
        <v>45410</v>
      </c>
      <c r="D595" s="145">
        <v>4.0078199999999997</v>
      </c>
      <c r="E595" s="145">
        <v>3.9218500000000001</v>
      </c>
      <c r="F595" s="145">
        <v>4.0668899999999999</v>
      </c>
      <c r="G595" s="145">
        <v>4.0763699999999998</v>
      </c>
      <c r="H595" s="145">
        <v>3.98977</v>
      </c>
      <c r="I595" s="145">
        <v>3.9905300000000001</v>
      </c>
    </row>
    <row r="596" spans="1:9" x14ac:dyDescent="0.25">
      <c r="A596" s="146" t="s">
        <v>191</v>
      </c>
      <c r="B596" s="144">
        <v>45411</v>
      </c>
      <c r="C596" s="144">
        <v>45417</v>
      </c>
      <c r="D596" s="145">
        <v>4.1120000000000001</v>
      </c>
      <c r="E596" s="145">
        <v>4.0389200000000001</v>
      </c>
      <c r="F596" s="145">
        <v>4.07341</v>
      </c>
      <c r="G596" s="145">
        <v>4.1238299999999999</v>
      </c>
      <c r="H596" s="145">
        <v>4.0515999999999996</v>
      </c>
      <c r="I596" s="145">
        <v>4.0567700000000002</v>
      </c>
    </row>
    <row r="597" spans="1:9" x14ac:dyDescent="0.25">
      <c r="A597" s="147" t="s">
        <v>191</v>
      </c>
      <c r="B597" s="148">
        <v>45418</v>
      </c>
      <c r="C597" s="148">
        <v>45424</v>
      </c>
      <c r="D597" s="149">
        <v>4.1529299999999996</v>
      </c>
      <c r="E597" s="149">
        <v>3.83013</v>
      </c>
      <c r="F597" s="149">
        <v>4.1665200000000002</v>
      </c>
      <c r="G597" s="149">
        <v>4.1567400000000001</v>
      </c>
      <c r="H597" s="149">
        <v>4.0779899999999998</v>
      </c>
      <c r="I597" s="149">
        <v>4.0291399999999999</v>
      </c>
    </row>
    <row r="598" spans="1:9" x14ac:dyDescent="0.25">
      <c r="A598" s="147" t="s">
        <v>191</v>
      </c>
      <c r="B598" s="148">
        <v>45425</v>
      </c>
      <c r="C598" s="148">
        <v>45431</v>
      </c>
      <c r="D598" s="149">
        <v>4.1457800000000002</v>
      </c>
      <c r="E598" s="149">
        <v>3.7936000000000001</v>
      </c>
      <c r="F598" s="149">
        <v>4.1570299999999998</v>
      </c>
      <c r="G598" s="149">
        <v>4.1509999999999998</v>
      </c>
      <c r="H598" s="149">
        <v>4.0888900000000001</v>
      </c>
      <c r="I598" s="149">
        <v>4.0420600000000002</v>
      </c>
    </row>
    <row r="599" spans="1:9" x14ac:dyDescent="0.25">
      <c r="A599" s="147" t="s">
        <v>191</v>
      </c>
      <c r="B599" s="148">
        <v>45432</v>
      </c>
      <c r="C599" s="148">
        <v>45438</v>
      </c>
      <c r="D599" s="149">
        <v>4.226</v>
      </c>
      <c r="E599" s="149">
        <v>4.0339200000000002</v>
      </c>
      <c r="F599" s="149">
        <v>4.1787799999999997</v>
      </c>
      <c r="G599" s="149">
        <v>4.1565200000000004</v>
      </c>
      <c r="H599" s="149">
        <v>4.10168</v>
      </c>
      <c r="I599" s="149">
        <v>4.0989000000000004</v>
      </c>
    </row>
    <row r="600" spans="1:9" x14ac:dyDescent="0.25">
      <c r="A600" s="146" t="s">
        <v>191</v>
      </c>
      <c r="B600" s="144">
        <v>45439</v>
      </c>
      <c r="C600" s="144">
        <v>45445</v>
      </c>
      <c r="D600" s="145">
        <v>4.1654600000000004</v>
      </c>
      <c r="E600" s="145">
        <v>3.9762400000000002</v>
      </c>
      <c r="F600" s="145">
        <v>4.1787799999999997</v>
      </c>
      <c r="G600" s="145">
        <v>4.0165199999999999</v>
      </c>
      <c r="H600" s="145">
        <v>3.9785599999999999</v>
      </c>
      <c r="I600" s="145">
        <v>4.00976</v>
      </c>
    </row>
    <row r="601" spans="1:9" x14ac:dyDescent="0.25">
      <c r="A601" s="146" t="s">
        <v>191</v>
      </c>
      <c r="B601" s="144">
        <v>45446</v>
      </c>
      <c r="C601" s="144">
        <v>45452</v>
      </c>
      <c r="D601" s="145">
        <v>4.39703</v>
      </c>
      <c r="E601" s="145">
        <v>3.6004900000000002</v>
      </c>
      <c r="F601" s="145">
        <v>3.86795</v>
      </c>
      <c r="G601" s="145">
        <v>3.8474699999999999</v>
      </c>
      <c r="H601" s="145">
        <v>3.7997200000000002</v>
      </c>
      <c r="I601" s="145">
        <v>3.7525200000000001</v>
      </c>
    </row>
    <row r="602" spans="1:9" x14ac:dyDescent="0.25">
      <c r="A602" s="146" t="s">
        <v>191</v>
      </c>
      <c r="B602" s="144">
        <v>45453</v>
      </c>
      <c r="C602" s="144">
        <v>45459</v>
      </c>
      <c r="D602" s="145">
        <v>3.9079199999999998</v>
      </c>
      <c r="E602" s="145">
        <v>3.7886799999999998</v>
      </c>
      <c r="F602" s="145">
        <v>3.8438400000000001</v>
      </c>
      <c r="G602" s="145">
        <v>3.8281299999999998</v>
      </c>
      <c r="H602" s="145">
        <v>3.7974000000000001</v>
      </c>
      <c r="I602" s="145">
        <v>3.80911</v>
      </c>
    </row>
    <row r="603" spans="1:9" x14ac:dyDescent="0.25">
      <c r="A603" s="147" t="s">
        <v>191</v>
      </c>
      <c r="B603" s="148">
        <v>45460</v>
      </c>
      <c r="C603" s="148">
        <v>45466</v>
      </c>
      <c r="D603" s="149">
        <v>4.3781299999999996</v>
      </c>
      <c r="E603" s="149">
        <v>3.5204399999999998</v>
      </c>
      <c r="F603" s="149">
        <v>3.8637899999999998</v>
      </c>
      <c r="G603" s="149">
        <v>3.86042</v>
      </c>
      <c r="H603" s="149">
        <v>3.8001499999999999</v>
      </c>
      <c r="I603" s="149">
        <v>3.7559300000000002</v>
      </c>
    </row>
    <row r="604" spans="1:9" x14ac:dyDescent="0.25">
      <c r="A604" s="147" t="s">
        <v>191</v>
      </c>
      <c r="B604" s="148">
        <v>45467</v>
      </c>
      <c r="C604" s="148">
        <v>45473</v>
      </c>
      <c r="D604" s="149">
        <v>3.8183600000000002</v>
      </c>
      <c r="E604" s="149">
        <v>3.7463299999999999</v>
      </c>
      <c r="F604" s="149">
        <v>3.8704499999999999</v>
      </c>
      <c r="G604" s="149">
        <v>3.8645800000000001</v>
      </c>
      <c r="H604" s="149">
        <v>3.7963</v>
      </c>
      <c r="I604" s="149">
        <v>3.79975</v>
      </c>
    </row>
    <row r="605" spans="1:9" x14ac:dyDescent="0.25">
      <c r="A605" s="146" t="s">
        <v>191</v>
      </c>
      <c r="B605" s="144">
        <v>45474</v>
      </c>
      <c r="C605" s="144">
        <v>45480</v>
      </c>
      <c r="D605" s="145">
        <v>4.3333399999999997</v>
      </c>
      <c r="E605" s="145">
        <v>3.5392199999999998</v>
      </c>
      <c r="F605" s="145">
        <v>3.9965000000000002</v>
      </c>
      <c r="G605" s="145">
        <v>3.9586600000000001</v>
      </c>
      <c r="H605" s="145">
        <v>3.9138799999999998</v>
      </c>
      <c r="I605" s="145">
        <v>3.8620999999999999</v>
      </c>
    </row>
    <row r="606" spans="1:9" x14ac:dyDescent="0.25">
      <c r="A606" s="146" t="s">
        <v>191</v>
      </c>
      <c r="B606" s="144">
        <v>45481</v>
      </c>
      <c r="C606" s="144">
        <v>45487</v>
      </c>
      <c r="D606" s="145">
        <v>4.0590099999999998</v>
      </c>
      <c r="E606" s="145">
        <v>3.8501699999999999</v>
      </c>
      <c r="F606" s="145">
        <v>3.97079</v>
      </c>
      <c r="G606" s="145">
        <v>3.9601799999999998</v>
      </c>
      <c r="H606" s="145">
        <v>3.9109500000000001</v>
      </c>
      <c r="I606" s="145">
        <v>3.9154599999999999</v>
      </c>
    </row>
    <row r="607" spans="1:9" x14ac:dyDescent="0.25">
      <c r="A607" s="146" t="s">
        <v>191</v>
      </c>
      <c r="B607" s="144">
        <v>45488</v>
      </c>
      <c r="C607" s="144">
        <v>45494</v>
      </c>
      <c r="D607" s="145">
        <v>4.3418000000000001</v>
      </c>
      <c r="E607" s="145">
        <v>3.6603599999999998</v>
      </c>
      <c r="F607" s="145">
        <v>3.9754900000000002</v>
      </c>
      <c r="G607" s="145">
        <v>3.98278</v>
      </c>
      <c r="H607" s="145">
        <v>3.9149799999999999</v>
      </c>
      <c r="I607" s="145">
        <v>3.8623400000000001</v>
      </c>
    </row>
    <row r="608" spans="1:9" x14ac:dyDescent="0.25">
      <c r="A608" s="146" t="s">
        <v>191</v>
      </c>
      <c r="B608" s="144">
        <v>45495</v>
      </c>
      <c r="C608" s="144">
        <v>45501</v>
      </c>
      <c r="D608" s="145">
        <v>4.0327200000000003</v>
      </c>
      <c r="E608" s="145">
        <v>3.8479299999999999</v>
      </c>
      <c r="F608" s="145">
        <v>3.9965000000000002</v>
      </c>
      <c r="G608" s="145">
        <v>3.9879799999999999</v>
      </c>
      <c r="H608" s="145">
        <v>3.9172899999999999</v>
      </c>
      <c r="I608" s="145">
        <v>3.9249299999999998</v>
      </c>
    </row>
    <row r="609" spans="1:9" x14ac:dyDescent="0.25">
      <c r="A609" s="146" t="s">
        <v>191</v>
      </c>
      <c r="B609" s="144">
        <v>45502</v>
      </c>
      <c r="C609" s="144">
        <v>45508</v>
      </c>
      <c r="D609" s="145">
        <v>3.6749200000000002</v>
      </c>
      <c r="E609" s="145">
        <v>3.9412699999999998</v>
      </c>
      <c r="F609" s="145">
        <v>4.0116399999999999</v>
      </c>
      <c r="G609" s="145">
        <v>4.1073899999999997</v>
      </c>
      <c r="H609" s="145">
        <v>4.0407500000000001</v>
      </c>
      <c r="I609" s="145">
        <v>3.9798399999999998</v>
      </c>
    </row>
    <row r="610" spans="1:9" x14ac:dyDescent="0.25">
      <c r="A610" s="146" t="s">
        <v>191</v>
      </c>
      <c r="B610" s="144">
        <v>45509</v>
      </c>
      <c r="C610" s="144">
        <v>45515</v>
      </c>
      <c r="D610" s="145">
        <v>4.5940399999999997</v>
      </c>
      <c r="E610" s="145">
        <v>4.1275599999999999</v>
      </c>
      <c r="F610" s="145">
        <v>4.1267800000000001</v>
      </c>
      <c r="G610" s="145">
        <v>4.2462</v>
      </c>
      <c r="H610" s="145">
        <v>4.1463999999999999</v>
      </c>
      <c r="I610" s="145">
        <v>4.1609299999999996</v>
      </c>
    </row>
    <row r="611" spans="1:9" x14ac:dyDescent="0.25">
      <c r="A611" s="146" t="s">
        <v>191</v>
      </c>
      <c r="B611" s="144">
        <v>45516</v>
      </c>
      <c r="C611" s="144">
        <v>45522</v>
      </c>
      <c r="D611" s="145">
        <v>4.2967199999999997</v>
      </c>
      <c r="E611" s="145">
        <v>4.1162200000000002</v>
      </c>
      <c r="F611" s="145">
        <v>4.1959799999999996</v>
      </c>
      <c r="G611" s="145">
        <v>4.2549000000000001</v>
      </c>
      <c r="H611" s="145">
        <v>4.1897700000000002</v>
      </c>
      <c r="I611" s="145">
        <v>4.1883600000000003</v>
      </c>
    </row>
    <row r="612" spans="1:9" x14ac:dyDescent="0.25">
      <c r="A612" s="146" t="s">
        <v>191</v>
      </c>
      <c r="B612" s="144">
        <v>45523</v>
      </c>
      <c r="C612" s="144">
        <v>45529</v>
      </c>
      <c r="D612" s="145">
        <v>4.2641</v>
      </c>
      <c r="E612" s="145">
        <v>3.9072</v>
      </c>
      <c r="F612" s="145">
        <v>4.2686700000000002</v>
      </c>
      <c r="G612" s="145">
        <v>4.2727500000000003</v>
      </c>
      <c r="H612" s="145">
        <v>4.1893900000000004</v>
      </c>
      <c r="I612" s="145">
        <v>4.1311900000000001</v>
      </c>
    </row>
    <row r="613" spans="1:9" x14ac:dyDescent="0.25">
      <c r="A613" s="146" t="s">
        <v>191</v>
      </c>
      <c r="B613" s="144">
        <v>45530</v>
      </c>
      <c r="C613" s="144">
        <v>45536</v>
      </c>
      <c r="D613" s="145">
        <v>4.6069399999999998</v>
      </c>
      <c r="E613" s="145">
        <v>3.9772099999999999</v>
      </c>
      <c r="F613" s="145">
        <v>4.2650100000000002</v>
      </c>
      <c r="G613" s="145">
        <v>4.1690100000000001</v>
      </c>
      <c r="H613" s="145">
        <v>4.1529499999999997</v>
      </c>
      <c r="I613" s="145">
        <v>4.1556100000000002</v>
      </c>
    </row>
    <row r="614" spans="1:9" x14ac:dyDescent="0.25">
      <c r="A614" s="146" t="s">
        <v>191</v>
      </c>
      <c r="B614" s="144">
        <v>45537</v>
      </c>
      <c r="C614" s="144">
        <v>45543</v>
      </c>
      <c r="D614" s="145">
        <v>3.98428</v>
      </c>
      <c r="E614" s="145">
        <v>3.4620299999999999</v>
      </c>
      <c r="F614" s="145">
        <v>4.0195800000000004</v>
      </c>
      <c r="G614" s="145">
        <v>3.8831699999999998</v>
      </c>
      <c r="H614" s="145">
        <v>3.8444099999999999</v>
      </c>
      <c r="I614" s="145">
        <v>3.80884</v>
      </c>
    </row>
    <row r="615" spans="1:9" x14ac:dyDescent="0.25">
      <c r="A615" s="146" t="s">
        <v>191</v>
      </c>
      <c r="B615" s="144">
        <v>45544</v>
      </c>
      <c r="C615" s="144">
        <v>45550</v>
      </c>
      <c r="D615" s="145">
        <v>4.2429899999999998</v>
      </c>
      <c r="E615" s="145">
        <v>3.7656200000000002</v>
      </c>
      <c r="F615" s="145">
        <v>3.97349</v>
      </c>
      <c r="G615" s="145">
        <v>3.87175</v>
      </c>
      <c r="H615" s="145">
        <v>3.8453200000000001</v>
      </c>
      <c r="I615" s="145">
        <v>3.8465699999999998</v>
      </c>
    </row>
    <row r="616" spans="1:9" x14ac:dyDescent="0.25">
      <c r="A616" s="146" t="s">
        <v>191</v>
      </c>
      <c r="B616" s="144">
        <v>45551</v>
      </c>
      <c r="C616" s="144">
        <v>45557</v>
      </c>
      <c r="D616" s="145">
        <v>4.2592800000000004</v>
      </c>
      <c r="E616" s="145">
        <v>3.49946</v>
      </c>
      <c r="F616" s="145">
        <v>3.9437500000000001</v>
      </c>
      <c r="G616" s="145">
        <v>3.8800699999999999</v>
      </c>
      <c r="H616" s="145">
        <v>3.83365</v>
      </c>
      <c r="I616" s="145">
        <v>3.7860499999999999</v>
      </c>
    </row>
    <row r="617" spans="1:9" x14ac:dyDescent="0.25">
      <c r="A617" s="146" t="s">
        <v>191</v>
      </c>
      <c r="B617" s="144">
        <v>45558</v>
      </c>
      <c r="C617" s="144">
        <v>45564</v>
      </c>
      <c r="D617" s="145">
        <v>3.9064199999999998</v>
      </c>
      <c r="E617" s="145">
        <v>3.74498</v>
      </c>
      <c r="F617" s="145">
        <v>3.8989400000000001</v>
      </c>
      <c r="G617" s="145">
        <v>3.8974799999999998</v>
      </c>
      <c r="H617" s="145">
        <v>3.8113999999999999</v>
      </c>
      <c r="I617" s="145">
        <v>3.8159200000000002</v>
      </c>
    </row>
    <row r="618" spans="1:9" x14ac:dyDescent="0.25">
      <c r="A618" s="150" t="s">
        <v>191</v>
      </c>
      <c r="B618" s="148">
        <v>45565</v>
      </c>
      <c r="C618" s="148">
        <v>45571</v>
      </c>
      <c r="D618" s="151">
        <v>4.2683999999999997</v>
      </c>
      <c r="E618" s="151">
        <v>3.2392599999999998</v>
      </c>
      <c r="F618" s="151">
        <v>3.91031</v>
      </c>
      <c r="G618" s="151">
        <v>3.5164900000000001</v>
      </c>
      <c r="H618" s="151">
        <v>3.5712299999999999</v>
      </c>
      <c r="I618" s="151">
        <v>3.5474700000000001</v>
      </c>
    </row>
    <row r="619" spans="1:9" x14ac:dyDescent="0.25">
      <c r="A619" s="150" t="s">
        <v>191</v>
      </c>
      <c r="B619" s="148">
        <v>45572</v>
      </c>
      <c r="C619" s="148">
        <v>45578</v>
      </c>
      <c r="D619" s="151">
        <v>3.6555200000000001</v>
      </c>
      <c r="E619" s="151">
        <v>3.40856</v>
      </c>
      <c r="F619" s="151">
        <v>3.7006999999999999</v>
      </c>
      <c r="G619" s="151">
        <v>3.5480700000000001</v>
      </c>
      <c r="H619" s="151">
        <v>3.5336699999999999</v>
      </c>
      <c r="I619" s="151">
        <v>3.5240499999999999</v>
      </c>
    </row>
    <row r="620" spans="1:9" x14ac:dyDescent="0.25">
      <c r="A620" s="150" t="s">
        <v>191</v>
      </c>
      <c r="B620" s="148">
        <v>45579</v>
      </c>
      <c r="C620" s="148">
        <v>45585</v>
      </c>
      <c r="D620" s="151">
        <v>4.2909600000000001</v>
      </c>
      <c r="E620" s="151">
        <v>3.1620400000000002</v>
      </c>
      <c r="F620" s="151">
        <v>3.6952199999999999</v>
      </c>
      <c r="G620" s="151">
        <v>3.5285500000000001</v>
      </c>
      <c r="H620" s="151">
        <v>3.5376400000000001</v>
      </c>
      <c r="I620" s="151">
        <v>3.4883999999999999</v>
      </c>
    </row>
    <row r="621" spans="1:9" x14ac:dyDescent="0.25">
      <c r="A621" s="150" t="s">
        <v>191</v>
      </c>
      <c r="B621" s="148">
        <v>45586</v>
      </c>
      <c r="C621" s="148">
        <v>45592</v>
      </c>
      <c r="D621" s="151">
        <v>4.2821400000000001</v>
      </c>
      <c r="E621" s="151">
        <v>3.40571</v>
      </c>
      <c r="F621" s="151">
        <v>3.5562100000000001</v>
      </c>
      <c r="G621" s="151">
        <v>3.5660400000000001</v>
      </c>
      <c r="H621" s="151">
        <v>3.4795400000000001</v>
      </c>
      <c r="I621" s="151">
        <v>3.4948999999999999</v>
      </c>
    </row>
    <row r="622" spans="1:9" x14ac:dyDescent="0.25">
      <c r="A622" s="150" t="s">
        <v>191</v>
      </c>
      <c r="B622" s="148">
        <v>45593</v>
      </c>
      <c r="C622" s="148">
        <v>45599</v>
      </c>
      <c r="D622" s="151">
        <v>3.66113</v>
      </c>
      <c r="E622" s="151">
        <v>3.5027599999999999</v>
      </c>
      <c r="F622" s="151">
        <v>3.5961500000000002</v>
      </c>
      <c r="G622" s="151">
        <v>3.6082399999999999</v>
      </c>
      <c r="H622" s="151">
        <v>3.54827</v>
      </c>
      <c r="I622" s="151">
        <v>3.5568599999999999</v>
      </c>
    </row>
    <row r="623" spans="1:9" x14ac:dyDescent="0.25">
      <c r="A623" s="150" t="s">
        <v>191</v>
      </c>
      <c r="B623" s="148">
        <v>45600</v>
      </c>
      <c r="C623" s="148">
        <v>45606</v>
      </c>
      <c r="D623" s="151">
        <v>3.7742599999999999</v>
      </c>
      <c r="E623" s="151">
        <v>3.2911000000000001</v>
      </c>
      <c r="F623" s="151">
        <v>3.6923900000000001</v>
      </c>
      <c r="G623" s="151">
        <v>3.6006200000000002</v>
      </c>
      <c r="H623" s="151">
        <v>3.5962700000000001</v>
      </c>
      <c r="I623" s="151">
        <v>3.5369700000000002</v>
      </c>
    </row>
    <row r="624" spans="1:9" x14ac:dyDescent="0.25">
      <c r="A624" s="150" t="s">
        <v>191</v>
      </c>
      <c r="B624" s="148">
        <v>45607</v>
      </c>
      <c r="C624" s="148">
        <v>45613</v>
      </c>
      <c r="D624" s="151">
        <v>4.4426500000000004</v>
      </c>
      <c r="E624" s="151">
        <v>3.5293899999999998</v>
      </c>
      <c r="F624" s="151">
        <v>3.7128999999999999</v>
      </c>
      <c r="G624" s="151">
        <v>3.6125099999999999</v>
      </c>
      <c r="H624" s="151">
        <v>3.5880800000000002</v>
      </c>
      <c r="I624" s="151">
        <v>3.61869</v>
      </c>
    </row>
    <row r="625" spans="1:9" x14ac:dyDescent="0.25">
      <c r="A625" s="150" t="s">
        <v>191</v>
      </c>
      <c r="B625" s="148">
        <v>45614</v>
      </c>
      <c r="C625" s="148">
        <v>45620</v>
      </c>
      <c r="D625" s="151">
        <v>3.8236500000000002</v>
      </c>
      <c r="E625" s="151">
        <v>3.2675000000000001</v>
      </c>
      <c r="F625" s="151">
        <v>3.6486499999999999</v>
      </c>
      <c r="G625" s="151">
        <v>3.6213099999999998</v>
      </c>
      <c r="H625" s="151">
        <v>3.5549300000000001</v>
      </c>
      <c r="I625" s="151">
        <v>3.5214599999999998</v>
      </c>
    </row>
    <row r="626" spans="1:9" x14ac:dyDescent="0.25">
      <c r="A626" s="150" t="s">
        <v>191</v>
      </c>
      <c r="B626" s="148">
        <v>45621</v>
      </c>
      <c r="C626" s="148">
        <v>45627</v>
      </c>
      <c r="D626" s="151">
        <v>4.4126099999999999</v>
      </c>
      <c r="E626" s="151">
        <v>3.4898199999999999</v>
      </c>
      <c r="F626" s="151">
        <v>3.6237599999999999</v>
      </c>
      <c r="G626" s="151">
        <v>3.63124</v>
      </c>
      <c r="H626" s="151">
        <v>3.5690200000000001</v>
      </c>
      <c r="I626" s="151">
        <v>3.6043599999999998</v>
      </c>
    </row>
    <row r="627" spans="1:9" x14ac:dyDescent="0.25">
      <c r="A627" s="150" t="s">
        <v>191</v>
      </c>
      <c r="B627" s="148">
        <v>45628</v>
      </c>
      <c r="C627" s="148">
        <v>45634</v>
      </c>
      <c r="D627" s="151">
        <v>4.4809900000000003</v>
      </c>
      <c r="E627" s="151">
        <v>3.6259800000000002</v>
      </c>
      <c r="F627" s="151">
        <v>3.8759800000000002</v>
      </c>
      <c r="G627" s="151">
        <v>3.7040700000000002</v>
      </c>
      <c r="H627" s="151">
        <v>3.6801900000000001</v>
      </c>
      <c r="I627" s="151">
        <v>3.7030599999999998</v>
      </c>
    </row>
    <row r="628" spans="1:9" x14ac:dyDescent="0.25">
      <c r="A628" s="150" t="s">
        <v>191</v>
      </c>
      <c r="B628" s="148">
        <v>45635</v>
      </c>
      <c r="C628" s="148">
        <v>45641</v>
      </c>
      <c r="D628" s="151">
        <v>3.98725</v>
      </c>
      <c r="E628" s="151">
        <v>3.4457599999999999</v>
      </c>
      <c r="F628" s="151">
        <v>3.8085399999999998</v>
      </c>
      <c r="G628" s="151">
        <v>3.72926</v>
      </c>
      <c r="H628" s="151">
        <v>3.68553</v>
      </c>
      <c r="I628" s="151">
        <v>3.6384300000000001</v>
      </c>
    </row>
    <row r="629" spans="1:9" x14ac:dyDescent="0.25">
      <c r="A629" s="150" t="s">
        <v>191</v>
      </c>
      <c r="B629" s="148">
        <v>45642</v>
      </c>
      <c r="C629" s="148">
        <v>45648</v>
      </c>
      <c r="D629" s="151">
        <v>4.49</v>
      </c>
      <c r="E629" s="151">
        <v>3.65184</v>
      </c>
      <c r="F629" s="151">
        <v>3.7833700000000001</v>
      </c>
      <c r="G629" s="151">
        <v>3.7253099999999999</v>
      </c>
      <c r="H629" s="151">
        <v>3.6786699999999999</v>
      </c>
      <c r="I629" s="151">
        <v>3.6957499999999999</v>
      </c>
    </row>
    <row r="630" spans="1:9" x14ac:dyDescent="0.25">
      <c r="A630" s="150" t="s">
        <v>191</v>
      </c>
      <c r="B630" s="148">
        <v>45649</v>
      </c>
      <c r="C630" s="148">
        <v>45655</v>
      </c>
      <c r="D630" s="151">
        <v>4.0304399999999996</v>
      </c>
      <c r="E630" s="151">
        <v>3.4569700000000001</v>
      </c>
      <c r="F630" s="151">
        <v>3.7569499999999998</v>
      </c>
      <c r="G630" s="151">
        <v>3.7393900000000002</v>
      </c>
      <c r="H630" s="151">
        <v>3.6590400000000001</v>
      </c>
      <c r="I630" s="151">
        <v>3.6444399999999999</v>
      </c>
    </row>
    <row r="631" spans="1:9" x14ac:dyDescent="0.25">
      <c r="A631" s="150" t="s">
        <v>191</v>
      </c>
      <c r="B631" s="148">
        <v>45656</v>
      </c>
      <c r="C631" s="148">
        <v>45662</v>
      </c>
      <c r="D631" s="151">
        <v>4.4754500000000004</v>
      </c>
      <c r="E631" s="151">
        <v>3.8180200000000002</v>
      </c>
      <c r="F631" s="151">
        <v>3.8238500000000002</v>
      </c>
      <c r="G631" s="151">
        <v>3.83386</v>
      </c>
      <c r="H631" s="151">
        <v>3.8595000000000002</v>
      </c>
      <c r="I631" s="151">
        <v>3.8604500000000002</v>
      </c>
    </row>
    <row r="632" spans="1:9" x14ac:dyDescent="0.25">
      <c r="A632" s="150" t="s">
        <v>191</v>
      </c>
      <c r="B632" s="148">
        <v>45663</v>
      </c>
      <c r="C632" s="148">
        <v>45669</v>
      </c>
      <c r="D632" s="151">
        <v>4.0611699999999997</v>
      </c>
      <c r="E632" s="151">
        <v>3.6429900000000002</v>
      </c>
      <c r="F632" s="151">
        <v>3.9921000000000002</v>
      </c>
      <c r="G632" s="151">
        <v>3.9871099999999999</v>
      </c>
      <c r="H632" s="151">
        <v>3.94082</v>
      </c>
      <c r="I632" s="151">
        <v>3.8867699999999998</v>
      </c>
    </row>
    <row r="633" spans="1:9" x14ac:dyDescent="0.25">
      <c r="A633" s="167"/>
      <c r="B633" s="163"/>
      <c r="C633" s="163"/>
      <c r="D633" s="163"/>
      <c r="E633" s="163"/>
      <c r="F633" s="163"/>
      <c r="G633" s="163"/>
      <c r="H633" s="163"/>
      <c r="I633" s="166"/>
    </row>
    <row r="634" spans="1:9" x14ac:dyDescent="0.25">
      <c r="A634" s="168"/>
      <c r="B634" s="163"/>
      <c r="C634" s="163"/>
      <c r="D634" s="163"/>
      <c r="E634" s="163"/>
      <c r="F634" s="163"/>
      <c r="G634" s="163"/>
      <c r="H634" s="163"/>
      <c r="I634" s="163"/>
    </row>
    <row r="635" spans="1:9" ht="39" x14ac:dyDescent="0.25">
      <c r="A635" s="167"/>
      <c r="B635" s="163"/>
      <c r="C635" s="163"/>
      <c r="D635" s="163"/>
      <c r="E635" s="163"/>
      <c r="F635" s="163"/>
      <c r="G635" s="163"/>
      <c r="H635" s="152" t="s">
        <v>207</v>
      </c>
      <c r="I635" s="169">
        <f xml:space="preserve"> SUM(I372:I632)/COUNT(I372:I632)</f>
        <v>3.5311916475095786</v>
      </c>
    </row>
    <row r="636" spans="1:9" x14ac:dyDescent="0.25">
      <c r="A636" s="167"/>
      <c r="B636" s="163"/>
      <c r="C636" s="163"/>
      <c r="D636" s="163"/>
      <c r="E636" s="163"/>
      <c r="F636" s="163"/>
      <c r="G636" s="163"/>
      <c r="H636" s="163"/>
      <c r="I636" s="163"/>
    </row>
    <row r="637" spans="1:9" x14ac:dyDescent="0.25">
      <c r="A637" s="167"/>
      <c r="B637" s="163"/>
      <c r="C637" s="163"/>
      <c r="D637" s="163"/>
      <c r="E637" s="163"/>
      <c r="F637" s="163"/>
      <c r="G637" s="163"/>
      <c r="H637" s="163"/>
      <c r="I637" s="163"/>
    </row>
    <row r="638" spans="1:9" x14ac:dyDescent="0.25">
      <c r="A638" s="167"/>
      <c r="B638" s="163"/>
      <c r="C638" s="163"/>
      <c r="D638" s="163"/>
      <c r="E638" s="163"/>
      <c r="F638" s="163"/>
      <c r="G638" s="163"/>
      <c r="H638" s="163"/>
      <c r="I638" s="163"/>
    </row>
    <row r="639" spans="1:9" x14ac:dyDescent="0.25">
      <c r="A639" s="167"/>
      <c r="B639" s="163"/>
      <c r="C639" s="163"/>
      <c r="D639" s="163"/>
      <c r="E639" s="163"/>
      <c r="F639" s="163"/>
      <c r="G639" s="163"/>
      <c r="H639" s="163"/>
      <c r="I639" s="163"/>
    </row>
    <row r="640" spans="1:9" x14ac:dyDescent="0.25">
      <c r="A640" s="167"/>
      <c r="B640" s="163"/>
      <c r="C640" s="163"/>
      <c r="D640" s="163"/>
      <c r="E640" s="163"/>
      <c r="F640" s="163"/>
      <c r="G640" s="163"/>
      <c r="H640" s="163"/>
      <c r="I640" s="163"/>
    </row>
  </sheetData>
  <mergeCells count="3">
    <mergeCell ref="A1:I1"/>
    <mergeCell ref="A3:A4"/>
    <mergeCell ref="I3:I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551DC-368D-478C-86D1-FA96E05651BC}">
  <dimension ref="A1:O59"/>
  <sheetViews>
    <sheetView workbookViewId="0">
      <selection activeCell="J3" sqref="J3"/>
    </sheetView>
  </sheetViews>
  <sheetFormatPr defaultRowHeight="15" x14ac:dyDescent="0.25"/>
  <cols>
    <col min="1" max="1" width="37.140625" customWidth="1"/>
    <col min="2" max="2" width="13.85546875" customWidth="1"/>
    <col min="3" max="3" width="17.5703125" customWidth="1"/>
    <col min="4" max="4" width="10.5703125" customWidth="1"/>
    <col min="5" max="5" width="11.42578125" customWidth="1"/>
    <col min="9" max="9" width="10.42578125" customWidth="1"/>
  </cols>
  <sheetData>
    <row r="1" spans="1:10" x14ac:dyDescent="0.25">
      <c r="A1" s="153" t="s">
        <v>193</v>
      </c>
      <c r="B1" s="155" t="s">
        <v>194</v>
      </c>
      <c r="C1" s="156"/>
      <c r="D1" s="159" t="s">
        <v>195</v>
      </c>
      <c r="E1" s="160"/>
      <c r="F1" s="160"/>
      <c r="G1" s="160"/>
      <c r="H1" s="161"/>
      <c r="I1" s="153" t="s">
        <v>45</v>
      </c>
    </row>
    <row r="2" spans="1:10" x14ac:dyDescent="0.25">
      <c r="A2" s="154"/>
      <c r="B2" s="157" t="s">
        <v>196</v>
      </c>
      <c r="C2" s="158"/>
      <c r="D2" s="162" t="s">
        <v>197</v>
      </c>
      <c r="E2" s="162" t="s">
        <v>198</v>
      </c>
      <c r="F2" s="162" t="s">
        <v>199</v>
      </c>
      <c r="G2" s="162" t="s">
        <v>200</v>
      </c>
      <c r="H2" s="162" t="s">
        <v>201</v>
      </c>
      <c r="I2" s="154"/>
    </row>
    <row r="3" spans="1:10" x14ac:dyDescent="0.25">
      <c r="A3" s="146" t="s">
        <v>191</v>
      </c>
      <c r="B3" s="144">
        <v>45292</v>
      </c>
      <c r="C3" s="144">
        <v>45298</v>
      </c>
      <c r="D3" s="145">
        <v>3.8340999999999998</v>
      </c>
      <c r="E3" s="145">
        <v>3.69651</v>
      </c>
      <c r="F3" s="145">
        <v>3.83684</v>
      </c>
      <c r="G3" s="145">
        <v>3.8390499999999999</v>
      </c>
      <c r="H3" s="145">
        <v>3.7423000000000002</v>
      </c>
      <c r="I3" s="145">
        <v>3.7496999999999998</v>
      </c>
      <c r="J3">
        <f xml:space="preserve"> SUM(I3:I54)/COUNT(I3:I54)</f>
        <v>3.827538076923076</v>
      </c>
    </row>
    <row r="4" spans="1:10" x14ac:dyDescent="0.25">
      <c r="A4" s="146" t="s">
        <v>191</v>
      </c>
      <c r="B4" s="144">
        <v>45299</v>
      </c>
      <c r="C4" s="144">
        <v>45305</v>
      </c>
      <c r="D4" s="145">
        <v>3.7881800000000001</v>
      </c>
      <c r="E4" s="145">
        <v>3.3558400000000002</v>
      </c>
      <c r="F4" s="145">
        <v>3.8179500000000002</v>
      </c>
      <c r="G4" s="145">
        <v>3.8450500000000001</v>
      </c>
      <c r="H4" s="145">
        <v>3.7458399999999998</v>
      </c>
      <c r="I4" s="145">
        <v>3.69679</v>
      </c>
    </row>
    <row r="5" spans="1:10" x14ac:dyDescent="0.25">
      <c r="A5" s="146" t="s">
        <v>191</v>
      </c>
      <c r="B5" s="144">
        <v>45306</v>
      </c>
      <c r="C5" s="144">
        <v>45312</v>
      </c>
      <c r="D5" s="145">
        <v>3.8599800000000002</v>
      </c>
      <c r="E5" s="145">
        <v>3.68452</v>
      </c>
      <c r="F5" s="145">
        <v>3.8261400000000001</v>
      </c>
      <c r="G5" s="145">
        <v>3.8374899999999998</v>
      </c>
      <c r="H5" s="145">
        <v>3.7484899999999999</v>
      </c>
      <c r="I5" s="145">
        <v>3.7517100000000001</v>
      </c>
    </row>
    <row r="6" spans="1:10" x14ac:dyDescent="0.25">
      <c r="A6" s="146" t="s">
        <v>191</v>
      </c>
      <c r="B6" s="144">
        <v>45313</v>
      </c>
      <c r="C6" s="144">
        <v>45319</v>
      </c>
      <c r="D6" s="145">
        <v>3.8696000000000002</v>
      </c>
      <c r="E6" s="145">
        <v>3.6692100000000001</v>
      </c>
      <c r="F6" s="145">
        <v>3.83684</v>
      </c>
      <c r="G6" s="145">
        <v>3.8529399999999998</v>
      </c>
      <c r="H6" s="145">
        <v>3.7608299999999999</v>
      </c>
      <c r="I6" s="145">
        <v>3.7582399999999998</v>
      </c>
    </row>
    <row r="7" spans="1:10" x14ac:dyDescent="0.25">
      <c r="A7" s="146" t="s">
        <v>191</v>
      </c>
      <c r="B7" s="144">
        <v>45320</v>
      </c>
      <c r="C7" s="144">
        <v>45326</v>
      </c>
      <c r="D7" s="145">
        <v>3.79644</v>
      </c>
      <c r="E7" s="145">
        <v>3.7175600000000002</v>
      </c>
      <c r="F7" s="145">
        <v>3.8217599999999998</v>
      </c>
      <c r="G7" s="145">
        <v>3.84375</v>
      </c>
      <c r="H7" s="145">
        <v>3.7261000000000002</v>
      </c>
      <c r="I7" s="145">
        <v>3.74207</v>
      </c>
    </row>
    <row r="8" spans="1:10" x14ac:dyDescent="0.25">
      <c r="A8" s="146" t="s">
        <v>191</v>
      </c>
      <c r="B8" s="144">
        <v>45327</v>
      </c>
      <c r="C8" s="144">
        <v>45333</v>
      </c>
      <c r="D8" s="145" t="s">
        <v>192</v>
      </c>
      <c r="E8" s="145">
        <v>3.5027900000000001</v>
      </c>
      <c r="F8" s="145">
        <v>3.80674</v>
      </c>
      <c r="G8" s="145">
        <v>3.8062</v>
      </c>
      <c r="H8" s="145">
        <v>3.7261799999999998</v>
      </c>
      <c r="I8" s="145">
        <v>3.67639</v>
      </c>
    </row>
    <row r="9" spans="1:10" x14ac:dyDescent="0.25">
      <c r="A9" s="146" t="s">
        <v>191</v>
      </c>
      <c r="B9" s="144">
        <v>45334</v>
      </c>
      <c r="C9" s="144">
        <v>45340</v>
      </c>
      <c r="D9" s="145">
        <v>3.8176800000000002</v>
      </c>
      <c r="E9" s="145">
        <v>3.6861100000000002</v>
      </c>
      <c r="F9" s="145">
        <v>3.7946399999999998</v>
      </c>
      <c r="G9" s="145">
        <v>3.8148499999999999</v>
      </c>
      <c r="H9" s="145">
        <v>3.7368899999999998</v>
      </c>
      <c r="I9" s="145">
        <v>3.74553</v>
      </c>
    </row>
    <row r="10" spans="1:10" x14ac:dyDescent="0.25">
      <c r="A10" s="146" t="s">
        <v>191</v>
      </c>
      <c r="B10" s="144">
        <v>45341</v>
      </c>
      <c r="C10" s="144">
        <v>45347</v>
      </c>
      <c r="D10" s="145">
        <v>3.8959999999999999</v>
      </c>
      <c r="E10" s="145">
        <v>3.6739099999999998</v>
      </c>
      <c r="F10" s="145">
        <v>3.80552</v>
      </c>
      <c r="G10" s="145">
        <v>3.8453400000000002</v>
      </c>
      <c r="H10" s="145">
        <v>3.7444299999999999</v>
      </c>
      <c r="I10" s="145">
        <v>3.7390099999999999</v>
      </c>
    </row>
    <row r="11" spans="1:10" x14ac:dyDescent="0.25">
      <c r="A11" s="146" t="s">
        <v>191</v>
      </c>
      <c r="B11" s="144">
        <v>45348</v>
      </c>
      <c r="C11" s="144">
        <v>45354</v>
      </c>
      <c r="D11" s="145">
        <v>3.7075399999999998</v>
      </c>
      <c r="E11" s="145">
        <v>3.70479</v>
      </c>
      <c r="F11" s="145">
        <v>3.8480400000000001</v>
      </c>
      <c r="G11" s="145">
        <v>3.9464999999999999</v>
      </c>
      <c r="H11" s="145">
        <v>3.83311</v>
      </c>
      <c r="I11" s="145">
        <v>3.8107799999999998</v>
      </c>
    </row>
    <row r="12" spans="1:10" x14ac:dyDescent="0.25">
      <c r="A12" s="146" t="s">
        <v>191</v>
      </c>
      <c r="B12" s="144">
        <v>45355</v>
      </c>
      <c r="C12" s="144">
        <v>45361</v>
      </c>
      <c r="D12" s="145">
        <v>4.0925700000000003</v>
      </c>
      <c r="E12" s="145">
        <v>3.9358300000000002</v>
      </c>
      <c r="F12" s="145">
        <v>4.1204299999999998</v>
      </c>
      <c r="G12" s="145">
        <v>4.1376499999999998</v>
      </c>
      <c r="H12" s="145">
        <v>4.0199600000000002</v>
      </c>
      <c r="I12" s="145">
        <v>4.0218699999999998</v>
      </c>
    </row>
    <row r="13" spans="1:10" x14ac:dyDescent="0.25">
      <c r="A13" s="146" t="s">
        <v>191</v>
      </c>
      <c r="B13" s="144">
        <v>45362</v>
      </c>
      <c r="C13" s="144">
        <v>45368</v>
      </c>
      <c r="D13" s="145">
        <v>4.0837599999999998</v>
      </c>
      <c r="E13" s="145">
        <v>3.7720699999999998</v>
      </c>
      <c r="F13" s="145">
        <v>4.1087199999999999</v>
      </c>
      <c r="G13" s="145">
        <v>4.13809</v>
      </c>
      <c r="H13" s="145">
        <v>4.0189399999999997</v>
      </c>
      <c r="I13" s="145">
        <v>3.9740899999999999</v>
      </c>
    </row>
    <row r="14" spans="1:10" x14ac:dyDescent="0.25">
      <c r="A14" s="146" t="s">
        <v>191</v>
      </c>
      <c r="B14" s="144">
        <v>45369</v>
      </c>
      <c r="C14" s="144">
        <v>45375</v>
      </c>
      <c r="D14" s="145">
        <v>4.1993400000000003</v>
      </c>
      <c r="E14" s="145">
        <v>3.9167999999999998</v>
      </c>
      <c r="F14" s="145">
        <v>4.0910000000000002</v>
      </c>
      <c r="G14" s="145">
        <v>4.1399999999999997</v>
      </c>
      <c r="H14" s="145">
        <v>4.0425300000000002</v>
      </c>
      <c r="I14" s="145">
        <v>4.0516399999999999</v>
      </c>
    </row>
    <row r="15" spans="1:10" x14ac:dyDescent="0.25">
      <c r="A15" s="146" t="s">
        <v>191</v>
      </c>
      <c r="B15" s="144">
        <v>45376</v>
      </c>
      <c r="C15" s="144">
        <v>45382</v>
      </c>
      <c r="D15" s="145">
        <v>4.1078799999999998</v>
      </c>
      <c r="E15" s="145">
        <v>3.96488</v>
      </c>
      <c r="F15" s="145">
        <v>4.11998</v>
      </c>
      <c r="G15" s="145">
        <v>4.1388999999999996</v>
      </c>
      <c r="H15" s="145">
        <v>4.0447600000000001</v>
      </c>
      <c r="I15" s="145">
        <v>4.0550800000000002</v>
      </c>
    </row>
    <row r="16" spans="1:10" x14ac:dyDescent="0.25">
      <c r="A16" s="146" t="s">
        <v>191</v>
      </c>
      <c r="B16" s="144">
        <v>45383</v>
      </c>
      <c r="C16" s="144">
        <v>45389</v>
      </c>
      <c r="D16" s="145">
        <v>4.0780000000000003</v>
      </c>
      <c r="E16" s="145">
        <v>3.96902</v>
      </c>
      <c r="F16" s="145">
        <v>4.0670299999999999</v>
      </c>
      <c r="G16" s="145">
        <v>4.0867699999999996</v>
      </c>
      <c r="H16" s="145">
        <v>3.9837500000000001</v>
      </c>
      <c r="I16" s="145">
        <v>3.9913699999999999</v>
      </c>
    </row>
    <row r="17" spans="1:9" x14ac:dyDescent="0.25">
      <c r="A17" s="146" t="s">
        <v>191</v>
      </c>
      <c r="B17" s="144">
        <v>45390</v>
      </c>
      <c r="C17" s="144">
        <v>45396</v>
      </c>
      <c r="D17" s="145">
        <v>4.0232400000000004</v>
      </c>
      <c r="E17" s="145">
        <v>3.72559</v>
      </c>
      <c r="F17" s="145">
        <v>4.0670299999999999</v>
      </c>
      <c r="G17" s="145">
        <v>4.1168899999999997</v>
      </c>
      <c r="H17" s="145">
        <v>3.9710999999999999</v>
      </c>
      <c r="I17" s="145">
        <v>3.9236499999999999</v>
      </c>
    </row>
    <row r="18" spans="1:9" x14ac:dyDescent="0.25">
      <c r="A18" s="146" t="s">
        <v>191</v>
      </c>
      <c r="B18" s="144">
        <v>45397</v>
      </c>
      <c r="C18" s="144">
        <v>45403</v>
      </c>
      <c r="D18" s="145">
        <v>4.1120000000000001</v>
      </c>
      <c r="E18" s="145">
        <v>3.93161</v>
      </c>
      <c r="F18" s="145">
        <v>4.0670299999999999</v>
      </c>
      <c r="G18" s="145">
        <v>4.0578399999999997</v>
      </c>
      <c r="H18" s="145">
        <v>3.9835799999999999</v>
      </c>
      <c r="I18" s="145">
        <v>3.9866100000000002</v>
      </c>
    </row>
    <row r="19" spans="1:9" x14ac:dyDescent="0.25">
      <c r="A19" s="146" t="s">
        <v>191</v>
      </c>
      <c r="B19" s="144">
        <v>45404</v>
      </c>
      <c r="C19" s="144">
        <v>45410</v>
      </c>
      <c r="D19" s="145">
        <v>4.0078199999999997</v>
      </c>
      <c r="E19" s="145">
        <v>3.9218500000000001</v>
      </c>
      <c r="F19" s="145">
        <v>4.0668899999999999</v>
      </c>
      <c r="G19" s="145">
        <v>4.0763699999999998</v>
      </c>
      <c r="H19" s="145">
        <v>3.98977</v>
      </c>
      <c r="I19" s="145">
        <v>3.9905300000000001</v>
      </c>
    </row>
    <row r="20" spans="1:9" x14ac:dyDescent="0.25">
      <c r="A20" s="146" t="s">
        <v>191</v>
      </c>
      <c r="B20" s="144">
        <v>45411</v>
      </c>
      <c r="C20" s="144">
        <v>45417</v>
      </c>
      <c r="D20" s="145">
        <v>4.1120000000000001</v>
      </c>
      <c r="E20" s="145">
        <v>4.0389200000000001</v>
      </c>
      <c r="F20" s="145">
        <v>4.07341</v>
      </c>
      <c r="G20" s="145">
        <v>4.1238299999999999</v>
      </c>
      <c r="H20" s="145">
        <v>4.0515999999999996</v>
      </c>
      <c r="I20" s="145">
        <v>4.0567700000000002</v>
      </c>
    </row>
    <row r="21" spans="1:9" x14ac:dyDescent="0.25">
      <c r="A21" s="147" t="s">
        <v>191</v>
      </c>
      <c r="B21" s="148">
        <v>45418</v>
      </c>
      <c r="C21" s="148">
        <v>45424</v>
      </c>
      <c r="D21" s="149">
        <v>4.1529299999999996</v>
      </c>
      <c r="E21" s="149">
        <v>3.83013</v>
      </c>
      <c r="F21" s="149">
        <v>4.1665200000000002</v>
      </c>
      <c r="G21" s="149">
        <v>4.1567400000000001</v>
      </c>
      <c r="H21" s="149">
        <v>4.0779899999999998</v>
      </c>
      <c r="I21" s="149">
        <v>4.0291399999999999</v>
      </c>
    </row>
    <row r="22" spans="1:9" x14ac:dyDescent="0.25">
      <c r="A22" s="147" t="s">
        <v>191</v>
      </c>
      <c r="B22" s="148">
        <v>45425</v>
      </c>
      <c r="C22" s="148">
        <v>45431</v>
      </c>
      <c r="D22" s="149">
        <v>4.1457800000000002</v>
      </c>
      <c r="E22" s="149">
        <v>3.7936000000000001</v>
      </c>
      <c r="F22" s="149">
        <v>4.1570299999999998</v>
      </c>
      <c r="G22" s="149">
        <v>4.1509999999999998</v>
      </c>
      <c r="H22" s="149">
        <v>4.0888900000000001</v>
      </c>
      <c r="I22" s="149">
        <v>4.0420600000000002</v>
      </c>
    </row>
    <row r="23" spans="1:9" x14ac:dyDescent="0.25">
      <c r="A23" s="147" t="s">
        <v>191</v>
      </c>
      <c r="B23" s="148">
        <v>45432</v>
      </c>
      <c r="C23" s="148">
        <v>45438</v>
      </c>
      <c r="D23" s="149">
        <v>4.226</v>
      </c>
      <c r="E23" s="149">
        <v>4.0339200000000002</v>
      </c>
      <c r="F23" s="149">
        <v>4.1787799999999997</v>
      </c>
      <c r="G23" s="149">
        <v>4.1565200000000004</v>
      </c>
      <c r="H23" s="149">
        <v>4.10168</v>
      </c>
      <c r="I23" s="149">
        <v>4.0989000000000004</v>
      </c>
    </row>
    <row r="24" spans="1:9" x14ac:dyDescent="0.25">
      <c r="A24" s="146" t="s">
        <v>191</v>
      </c>
      <c r="B24" s="144">
        <v>45439</v>
      </c>
      <c r="C24" s="144">
        <v>45445</v>
      </c>
      <c r="D24" s="145">
        <v>4.1654600000000004</v>
      </c>
      <c r="E24" s="145">
        <v>3.9762400000000002</v>
      </c>
      <c r="F24" s="145">
        <v>4.1787799999999997</v>
      </c>
      <c r="G24" s="145">
        <v>4.0165199999999999</v>
      </c>
      <c r="H24" s="145">
        <v>3.9785599999999999</v>
      </c>
      <c r="I24" s="145">
        <v>4.00976</v>
      </c>
    </row>
    <row r="25" spans="1:9" x14ac:dyDescent="0.25">
      <c r="A25" s="146" t="s">
        <v>191</v>
      </c>
      <c r="B25" s="144">
        <v>45446</v>
      </c>
      <c r="C25" s="144">
        <v>45452</v>
      </c>
      <c r="D25" s="145">
        <v>4.39703</v>
      </c>
      <c r="E25" s="145">
        <v>3.6004900000000002</v>
      </c>
      <c r="F25" s="145">
        <v>3.86795</v>
      </c>
      <c r="G25" s="145">
        <v>3.8474699999999999</v>
      </c>
      <c r="H25" s="145">
        <v>3.7997200000000002</v>
      </c>
      <c r="I25" s="145">
        <v>3.7525200000000001</v>
      </c>
    </row>
    <row r="26" spans="1:9" x14ac:dyDescent="0.25">
      <c r="A26" s="146" t="s">
        <v>191</v>
      </c>
      <c r="B26" s="144">
        <v>45453</v>
      </c>
      <c r="C26" s="144">
        <v>45459</v>
      </c>
      <c r="D26" s="145">
        <v>3.9079199999999998</v>
      </c>
      <c r="E26" s="145">
        <v>3.7886799999999998</v>
      </c>
      <c r="F26" s="145">
        <v>3.8438400000000001</v>
      </c>
      <c r="G26" s="145">
        <v>3.8281299999999998</v>
      </c>
      <c r="H26" s="145">
        <v>3.7974000000000001</v>
      </c>
      <c r="I26" s="145">
        <v>3.80911</v>
      </c>
    </row>
    <row r="27" spans="1:9" x14ac:dyDescent="0.25">
      <c r="A27" s="147" t="s">
        <v>191</v>
      </c>
      <c r="B27" s="148">
        <v>45460</v>
      </c>
      <c r="C27" s="148">
        <v>45466</v>
      </c>
      <c r="D27" s="149">
        <v>4.3781299999999996</v>
      </c>
      <c r="E27" s="149">
        <v>3.5204399999999998</v>
      </c>
      <c r="F27" s="149">
        <v>3.8637899999999998</v>
      </c>
      <c r="G27" s="149">
        <v>3.86042</v>
      </c>
      <c r="H27" s="149">
        <v>3.8001499999999999</v>
      </c>
      <c r="I27" s="149">
        <v>3.7559300000000002</v>
      </c>
    </row>
    <row r="28" spans="1:9" x14ac:dyDescent="0.25">
      <c r="A28" s="147" t="s">
        <v>191</v>
      </c>
      <c r="B28" s="148">
        <v>45467</v>
      </c>
      <c r="C28" s="148">
        <v>45473</v>
      </c>
      <c r="D28" s="149">
        <v>3.8183600000000002</v>
      </c>
      <c r="E28" s="149">
        <v>3.7463299999999999</v>
      </c>
      <c r="F28" s="149">
        <v>3.8704499999999999</v>
      </c>
      <c r="G28" s="149">
        <v>3.8645800000000001</v>
      </c>
      <c r="H28" s="149">
        <v>3.7963</v>
      </c>
      <c r="I28" s="149">
        <v>3.79975</v>
      </c>
    </row>
    <row r="29" spans="1:9" x14ac:dyDescent="0.25">
      <c r="A29" s="146" t="s">
        <v>191</v>
      </c>
      <c r="B29" s="144">
        <v>45474</v>
      </c>
      <c r="C29" s="144">
        <v>45480</v>
      </c>
      <c r="D29" s="145">
        <v>4.3333399999999997</v>
      </c>
      <c r="E29" s="145">
        <v>3.5392199999999998</v>
      </c>
      <c r="F29" s="145">
        <v>3.9965000000000002</v>
      </c>
      <c r="G29" s="145">
        <v>3.9586600000000001</v>
      </c>
      <c r="H29" s="145">
        <v>3.9138799999999998</v>
      </c>
      <c r="I29" s="145">
        <v>3.8620999999999999</v>
      </c>
    </row>
    <row r="30" spans="1:9" x14ac:dyDescent="0.25">
      <c r="A30" s="146" t="s">
        <v>191</v>
      </c>
      <c r="B30" s="144">
        <v>45481</v>
      </c>
      <c r="C30" s="144">
        <v>45487</v>
      </c>
      <c r="D30" s="145">
        <v>4.0590099999999998</v>
      </c>
      <c r="E30" s="145">
        <v>3.8501699999999999</v>
      </c>
      <c r="F30" s="145">
        <v>3.97079</v>
      </c>
      <c r="G30" s="145">
        <v>3.9601799999999998</v>
      </c>
      <c r="H30" s="145">
        <v>3.9109500000000001</v>
      </c>
      <c r="I30" s="145">
        <v>3.9154599999999999</v>
      </c>
    </row>
    <row r="31" spans="1:9" x14ac:dyDescent="0.25">
      <c r="A31" s="146" t="s">
        <v>191</v>
      </c>
      <c r="B31" s="144">
        <v>45488</v>
      </c>
      <c r="C31" s="144">
        <v>45494</v>
      </c>
      <c r="D31" s="145">
        <v>4.3418000000000001</v>
      </c>
      <c r="E31" s="145">
        <v>3.6603599999999998</v>
      </c>
      <c r="F31" s="145">
        <v>3.9754900000000002</v>
      </c>
      <c r="G31" s="145">
        <v>3.98278</v>
      </c>
      <c r="H31" s="145">
        <v>3.9149799999999999</v>
      </c>
      <c r="I31" s="145">
        <v>3.8623400000000001</v>
      </c>
    </row>
    <row r="32" spans="1:9" x14ac:dyDescent="0.25">
      <c r="A32" s="146" t="s">
        <v>191</v>
      </c>
      <c r="B32" s="144">
        <v>45495</v>
      </c>
      <c r="C32" s="144">
        <v>45501</v>
      </c>
      <c r="D32" s="145">
        <v>4.0327200000000003</v>
      </c>
      <c r="E32" s="145">
        <v>3.8479299999999999</v>
      </c>
      <c r="F32" s="145">
        <v>3.9965000000000002</v>
      </c>
      <c r="G32" s="145">
        <v>3.9879799999999999</v>
      </c>
      <c r="H32" s="145">
        <v>3.9172899999999999</v>
      </c>
      <c r="I32" s="145">
        <v>3.9249299999999998</v>
      </c>
    </row>
    <row r="33" spans="1:9" x14ac:dyDescent="0.25">
      <c r="A33" s="146" t="s">
        <v>191</v>
      </c>
      <c r="B33" s="144">
        <v>45502</v>
      </c>
      <c r="C33" s="144">
        <v>45508</v>
      </c>
      <c r="D33" s="145">
        <v>3.6749200000000002</v>
      </c>
      <c r="E33" s="145">
        <v>3.9412699999999998</v>
      </c>
      <c r="F33" s="145">
        <v>4.0116399999999999</v>
      </c>
      <c r="G33" s="145">
        <v>4.1073899999999997</v>
      </c>
      <c r="H33" s="145">
        <v>4.0407500000000001</v>
      </c>
      <c r="I33" s="145">
        <v>3.9798399999999998</v>
      </c>
    </row>
    <row r="34" spans="1:9" x14ac:dyDescent="0.25">
      <c r="A34" s="146" t="s">
        <v>191</v>
      </c>
      <c r="B34" s="144">
        <v>45509</v>
      </c>
      <c r="C34" s="144">
        <v>45515</v>
      </c>
      <c r="D34" s="145">
        <v>4.5940399999999997</v>
      </c>
      <c r="E34" s="145">
        <v>4.1275599999999999</v>
      </c>
      <c r="F34" s="145">
        <v>4.1267800000000001</v>
      </c>
      <c r="G34" s="145">
        <v>4.2462</v>
      </c>
      <c r="H34" s="145">
        <v>4.1463999999999999</v>
      </c>
      <c r="I34" s="145">
        <v>4.1609299999999996</v>
      </c>
    </row>
    <row r="35" spans="1:9" x14ac:dyDescent="0.25">
      <c r="A35" s="146" t="s">
        <v>191</v>
      </c>
      <c r="B35" s="144">
        <v>45516</v>
      </c>
      <c r="C35" s="144">
        <v>45522</v>
      </c>
      <c r="D35" s="145">
        <v>4.2967199999999997</v>
      </c>
      <c r="E35" s="145">
        <v>4.1162200000000002</v>
      </c>
      <c r="F35" s="145">
        <v>4.1959799999999996</v>
      </c>
      <c r="G35" s="145">
        <v>4.2549000000000001</v>
      </c>
      <c r="H35" s="145">
        <v>4.1897700000000002</v>
      </c>
      <c r="I35" s="145">
        <v>4.1883600000000003</v>
      </c>
    </row>
    <row r="36" spans="1:9" x14ac:dyDescent="0.25">
      <c r="A36" s="146" t="s">
        <v>191</v>
      </c>
      <c r="B36" s="144">
        <v>45523</v>
      </c>
      <c r="C36" s="144">
        <v>45529</v>
      </c>
      <c r="D36" s="145">
        <v>4.2641</v>
      </c>
      <c r="E36" s="145">
        <v>3.9072</v>
      </c>
      <c r="F36" s="145">
        <v>4.2686700000000002</v>
      </c>
      <c r="G36" s="145">
        <v>4.2727500000000003</v>
      </c>
      <c r="H36" s="145">
        <v>4.1893900000000004</v>
      </c>
      <c r="I36" s="145">
        <v>4.1311900000000001</v>
      </c>
    </row>
    <row r="37" spans="1:9" x14ac:dyDescent="0.25">
      <c r="A37" s="146" t="s">
        <v>191</v>
      </c>
      <c r="B37" s="144">
        <v>45530</v>
      </c>
      <c r="C37" s="144">
        <v>45536</v>
      </c>
      <c r="D37" s="145">
        <v>4.6069399999999998</v>
      </c>
      <c r="E37" s="145">
        <v>3.9772099999999999</v>
      </c>
      <c r="F37" s="145">
        <v>4.2650100000000002</v>
      </c>
      <c r="G37" s="145">
        <v>4.1690100000000001</v>
      </c>
      <c r="H37" s="145">
        <v>4.1529499999999997</v>
      </c>
      <c r="I37" s="145">
        <v>4.1556100000000002</v>
      </c>
    </row>
    <row r="38" spans="1:9" x14ac:dyDescent="0.25">
      <c r="A38" s="146" t="s">
        <v>191</v>
      </c>
      <c r="B38" s="144">
        <v>45537</v>
      </c>
      <c r="C38" s="144">
        <v>45543</v>
      </c>
      <c r="D38" s="145">
        <v>3.98428</v>
      </c>
      <c r="E38" s="145">
        <v>3.4620299999999999</v>
      </c>
      <c r="F38" s="145">
        <v>4.0195800000000004</v>
      </c>
      <c r="G38" s="145">
        <v>3.8831699999999998</v>
      </c>
      <c r="H38" s="145">
        <v>3.8444099999999999</v>
      </c>
      <c r="I38" s="145">
        <v>3.80884</v>
      </c>
    </row>
    <row r="39" spans="1:9" x14ac:dyDescent="0.25">
      <c r="A39" s="146" t="s">
        <v>191</v>
      </c>
      <c r="B39" s="144">
        <v>45544</v>
      </c>
      <c r="C39" s="144">
        <v>45550</v>
      </c>
      <c r="D39" s="145">
        <v>4.2429899999999998</v>
      </c>
      <c r="E39" s="145">
        <v>3.7656200000000002</v>
      </c>
      <c r="F39" s="145">
        <v>3.97349</v>
      </c>
      <c r="G39" s="145">
        <v>3.87175</v>
      </c>
      <c r="H39" s="145">
        <v>3.8453200000000001</v>
      </c>
      <c r="I39" s="145">
        <v>3.8465699999999998</v>
      </c>
    </row>
    <row r="40" spans="1:9" x14ac:dyDescent="0.25">
      <c r="A40" s="146" t="s">
        <v>191</v>
      </c>
      <c r="B40" s="144">
        <v>45551</v>
      </c>
      <c r="C40" s="144">
        <v>45557</v>
      </c>
      <c r="D40" s="145">
        <v>4.2592800000000004</v>
      </c>
      <c r="E40" s="145">
        <v>3.49946</v>
      </c>
      <c r="F40" s="145">
        <v>3.9437500000000001</v>
      </c>
      <c r="G40" s="145">
        <v>3.8800699999999999</v>
      </c>
      <c r="H40" s="145">
        <v>3.83365</v>
      </c>
      <c r="I40" s="145">
        <v>3.7860499999999999</v>
      </c>
    </row>
    <row r="41" spans="1:9" x14ac:dyDescent="0.25">
      <c r="A41" s="146" t="s">
        <v>191</v>
      </c>
      <c r="B41" s="144">
        <v>45558</v>
      </c>
      <c r="C41" s="144">
        <v>45564</v>
      </c>
      <c r="D41" s="145">
        <v>3.9064199999999998</v>
      </c>
      <c r="E41" s="145">
        <v>3.74498</v>
      </c>
      <c r="F41" s="145">
        <v>3.8989400000000001</v>
      </c>
      <c r="G41" s="145">
        <v>3.8974799999999998</v>
      </c>
      <c r="H41" s="145">
        <v>3.8113999999999999</v>
      </c>
      <c r="I41" s="145">
        <v>3.8159200000000002</v>
      </c>
    </row>
    <row r="42" spans="1:9" x14ac:dyDescent="0.25">
      <c r="A42" s="150" t="s">
        <v>191</v>
      </c>
      <c r="B42" s="148">
        <v>45565</v>
      </c>
      <c r="C42" s="148">
        <v>45571</v>
      </c>
      <c r="D42" s="151">
        <v>4.2683999999999997</v>
      </c>
      <c r="E42" s="151">
        <v>3.2392599999999998</v>
      </c>
      <c r="F42" s="151">
        <v>3.91031</v>
      </c>
      <c r="G42" s="151">
        <v>3.5164900000000001</v>
      </c>
      <c r="H42" s="151">
        <v>3.5712299999999999</v>
      </c>
      <c r="I42" s="151">
        <v>3.5474700000000001</v>
      </c>
    </row>
    <row r="43" spans="1:9" x14ac:dyDescent="0.25">
      <c r="A43" s="150" t="s">
        <v>191</v>
      </c>
      <c r="B43" s="148">
        <v>45572</v>
      </c>
      <c r="C43" s="148">
        <v>45578</v>
      </c>
      <c r="D43" s="151">
        <v>3.6555200000000001</v>
      </c>
      <c r="E43" s="151">
        <v>3.40856</v>
      </c>
      <c r="F43" s="151">
        <v>3.7006999999999999</v>
      </c>
      <c r="G43" s="151">
        <v>3.5480700000000001</v>
      </c>
      <c r="H43" s="151">
        <v>3.5336699999999999</v>
      </c>
      <c r="I43" s="151">
        <v>3.5240499999999999</v>
      </c>
    </row>
    <row r="44" spans="1:9" x14ac:dyDescent="0.25">
      <c r="A44" s="150" t="s">
        <v>191</v>
      </c>
      <c r="B44" s="148">
        <v>45579</v>
      </c>
      <c r="C44" s="148">
        <v>45585</v>
      </c>
      <c r="D44" s="151">
        <v>4.2909600000000001</v>
      </c>
      <c r="E44" s="151">
        <v>3.1620400000000002</v>
      </c>
      <c r="F44" s="151">
        <v>3.6952199999999999</v>
      </c>
      <c r="G44" s="151">
        <v>3.5285500000000001</v>
      </c>
      <c r="H44" s="151">
        <v>3.5376400000000001</v>
      </c>
      <c r="I44" s="151">
        <v>3.4883999999999999</v>
      </c>
    </row>
    <row r="45" spans="1:9" x14ac:dyDescent="0.25">
      <c r="A45" s="150" t="s">
        <v>191</v>
      </c>
      <c r="B45" s="148">
        <v>45586</v>
      </c>
      <c r="C45" s="148">
        <v>45592</v>
      </c>
      <c r="D45" s="151">
        <v>4.2821400000000001</v>
      </c>
      <c r="E45" s="151">
        <v>3.40571</v>
      </c>
      <c r="F45" s="151">
        <v>3.5562100000000001</v>
      </c>
      <c r="G45" s="151">
        <v>3.5660400000000001</v>
      </c>
      <c r="H45" s="151">
        <v>3.4795400000000001</v>
      </c>
      <c r="I45" s="151">
        <v>3.4948999999999999</v>
      </c>
    </row>
    <row r="46" spans="1:9" x14ac:dyDescent="0.25">
      <c r="A46" s="150" t="s">
        <v>191</v>
      </c>
      <c r="B46" s="148">
        <v>45593</v>
      </c>
      <c r="C46" s="148">
        <v>45599</v>
      </c>
      <c r="D46" s="151">
        <v>3.66113</v>
      </c>
      <c r="E46" s="151">
        <v>3.5027599999999999</v>
      </c>
      <c r="F46" s="151">
        <v>3.5961500000000002</v>
      </c>
      <c r="G46" s="151">
        <v>3.6082399999999999</v>
      </c>
      <c r="H46" s="151">
        <v>3.54827</v>
      </c>
      <c r="I46" s="151">
        <v>3.5568599999999999</v>
      </c>
    </row>
    <row r="47" spans="1:9" x14ac:dyDescent="0.25">
      <c r="A47" s="150" t="s">
        <v>191</v>
      </c>
      <c r="B47" s="148">
        <v>45600</v>
      </c>
      <c r="C47" s="148">
        <v>45606</v>
      </c>
      <c r="D47" s="151">
        <v>3.7742599999999999</v>
      </c>
      <c r="E47" s="151">
        <v>3.2911000000000001</v>
      </c>
      <c r="F47" s="151">
        <v>3.6923900000000001</v>
      </c>
      <c r="G47" s="151">
        <v>3.6006200000000002</v>
      </c>
      <c r="H47" s="151">
        <v>3.5962700000000001</v>
      </c>
      <c r="I47" s="151">
        <v>3.5369700000000002</v>
      </c>
    </row>
    <row r="48" spans="1:9" x14ac:dyDescent="0.25">
      <c r="A48" s="150" t="s">
        <v>191</v>
      </c>
      <c r="B48" s="148">
        <v>45607</v>
      </c>
      <c r="C48" s="148">
        <v>45613</v>
      </c>
      <c r="D48" s="151">
        <v>4.4426500000000004</v>
      </c>
      <c r="E48" s="151">
        <v>3.5293899999999998</v>
      </c>
      <c r="F48" s="151">
        <v>3.7128999999999999</v>
      </c>
      <c r="G48" s="151">
        <v>3.6125099999999999</v>
      </c>
      <c r="H48" s="151">
        <v>3.5880800000000002</v>
      </c>
      <c r="I48" s="151">
        <v>3.61869</v>
      </c>
    </row>
    <row r="49" spans="1:15" x14ac:dyDescent="0.25">
      <c r="A49" s="150" t="s">
        <v>191</v>
      </c>
      <c r="B49" s="148">
        <v>45614</v>
      </c>
      <c r="C49" s="148">
        <v>45620</v>
      </c>
      <c r="D49" s="151">
        <v>3.8236500000000002</v>
      </c>
      <c r="E49" s="151">
        <v>3.2675000000000001</v>
      </c>
      <c r="F49" s="151">
        <v>3.6486499999999999</v>
      </c>
      <c r="G49" s="151">
        <v>3.6213099999999998</v>
      </c>
      <c r="H49" s="151">
        <v>3.5549300000000001</v>
      </c>
      <c r="I49" s="151">
        <v>3.5214599999999998</v>
      </c>
    </row>
    <row r="50" spans="1:15" x14ac:dyDescent="0.25">
      <c r="A50" s="150" t="s">
        <v>191</v>
      </c>
      <c r="B50" s="148">
        <v>45621</v>
      </c>
      <c r="C50" s="148">
        <v>45627</v>
      </c>
      <c r="D50" s="151">
        <v>4.4126099999999999</v>
      </c>
      <c r="E50" s="151">
        <v>3.4898199999999999</v>
      </c>
      <c r="F50" s="151">
        <v>3.6237599999999999</v>
      </c>
      <c r="G50" s="151">
        <v>3.63124</v>
      </c>
      <c r="H50" s="151">
        <v>3.5690200000000001</v>
      </c>
      <c r="I50" s="151">
        <v>3.6043599999999998</v>
      </c>
    </row>
    <row r="51" spans="1:15" x14ac:dyDescent="0.25">
      <c r="A51" s="150" t="s">
        <v>191</v>
      </c>
      <c r="B51" s="148">
        <v>45628</v>
      </c>
      <c r="C51" s="148">
        <v>45634</v>
      </c>
      <c r="D51" s="151">
        <v>4.4809900000000003</v>
      </c>
      <c r="E51" s="151">
        <v>3.6259800000000002</v>
      </c>
      <c r="F51" s="151">
        <v>3.8759800000000002</v>
      </c>
      <c r="G51" s="151">
        <v>3.7040700000000002</v>
      </c>
      <c r="H51" s="151">
        <v>3.6801900000000001</v>
      </c>
      <c r="I51" s="151">
        <v>3.7030599999999998</v>
      </c>
    </row>
    <row r="52" spans="1:15" x14ac:dyDescent="0.25">
      <c r="A52" s="150" t="s">
        <v>191</v>
      </c>
      <c r="B52" s="148">
        <v>45635</v>
      </c>
      <c r="C52" s="148">
        <v>45641</v>
      </c>
      <c r="D52" s="151">
        <v>3.98725</v>
      </c>
      <c r="E52" s="151">
        <v>3.4457599999999999</v>
      </c>
      <c r="F52" s="151">
        <v>3.8085399999999998</v>
      </c>
      <c r="G52" s="151">
        <v>3.72926</v>
      </c>
      <c r="H52" s="151">
        <v>3.68553</v>
      </c>
      <c r="I52" s="151">
        <v>3.6384300000000001</v>
      </c>
    </row>
    <row r="53" spans="1:15" x14ac:dyDescent="0.25">
      <c r="A53" s="150" t="s">
        <v>191</v>
      </c>
      <c r="B53" s="148">
        <v>45642</v>
      </c>
      <c r="C53" s="148">
        <v>45648</v>
      </c>
      <c r="D53" s="151">
        <v>4.49</v>
      </c>
      <c r="E53" s="151">
        <v>3.65184</v>
      </c>
      <c r="F53" s="151">
        <v>3.7833700000000001</v>
      </c>
      <c r="G53" s="151">
        <v>3.7253099999999999</v>
      </c>
      <c r="H53" s="151">
        <v>3.6786699999999999</v>
      </c>
      <c r="I53" s="151">
        <v>3.6957499999999999</v>
      </c>
    </row>
    <row r="54" spans="1:15" x14ac:dyDescent="0.25">
      <c r="A54" s="150" t="s">
        <v>191</v>
      </c>
      <c r="B54" s="148">
        <v>45649</v>
      </c>
      <c r="C54" s="148">
        <v>45655</v>
      </c>
      <c r="D54" s="151">
        <v>4.0304399999999996</v>
      </c>
      <c r="E54" s="151">
        <v>3.4569700000000001</v>
      </c>
      <c r="F54" s="151">
        <v>3.7569499999999998</v>
      </c>
      <c r="G54" s="151">
        <v>3.7393900000000002</v>
      </c>
      <c r="H54" s="151">
        <v>3.6590400000000001</v>
      </c>
      <c r="I54" s="151">
        <v>3.6444399999999999</v>
      </c>
    </row>
    <row r="55" spans="1:15" x14ac:dyDescent="0.25">
      <c r="B55" s="210" t="s">
        <v>202</v>
      </c>
      <c r="C55" s="210"/>
      <c r="K55" t="s">
        <v>255</v>
      </c>
      <c r="O55" t="s">
        <v>256</v>
      </c>
    </row>
    <row r="56" spans="1:15" x14ac:dyDescent="0.25">
      <c r="H56" t="s">
        <v>203</v>
      </c>
      <c r="K56" t="s">
        <v>254</v>
      </c>
    </row>
    <row r="58" spans="1:15" x14ac:dyDescent="0.25">
      <c r="I58" t="s">
        <v>257</v>
      </c>
      <c r="O58" t="s">
        <v>259</v>
      </c>
    </row>
    <row r="59" spans="1:15" x14ac:dyDescent="0.25">
      <c r="I59" t="s">
        <v>258</v>
      </c>
      <c r="O59" t="s">
        <v>260</v>
      </c>
    </row>
  </sheetData>
  <mergeCells count="1">
    <mergeCell ref="B55:C5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A261-877D-4698-8140-394529190A38}">
  <dimension ref="A1:D19"/>
  <sheetViews>
    <sheetView workbookViewId="0">
      <selection activeCell="H3" sqref="H3"/>
    </sheetView>
  </sheetViews>
  <sheetFormatPr defaultRowHeight="15" x14ac:dyDescent="0.25"/>
  <cols>
    <col min="1" max="1" width="14.5703125" customWidth="1"/>
    <col min="2" max="2" width="15.5703125" customWidth="1"/>
    <col min="3" max="3" width="16.28515625" customWidth="1"/>
    <col min="4" max="4" width="19.42578125" customWidth="1"/>
  </cols>
  <sheetData>
    <row r="1" spans="1:4" ht="27" customHeight="1" x14ac:dyDescent="0.25">
      <c r="A1" s="211" t="s">
        <v>208</v>
      </c>
      <c r="B1" s="211" t="s">
        <v>209</v>
      </c>
      <c r="C1" s="211" t="e" vm="1">
        <v>#VALUE!</v>
      </c>
      <c r="D1" s="211" t="s">
        <v>210</v>
      </c>
    </row>
    <row r="2" spans="1:4" ht="15.75" thickBot="1" x14ac:dyDescent="0.3">
      <c r="A2" s="212"/>
      <c r="B2" s="212"/>
      <c r="C2" s="212"/>
      <c r="D2" s="212"/>
    </row>
    <row r="3" spans="1:4" ht="63.75" customHeight="1" thickBot="1" x14ac:dyDescent="0.3">
      <c r="A3" s="170" t="s">
        <v>211</v>
      </c>
      <c r="B3" s="171" t="s">
        <v>212</v>
      </c>
      <c r="C3" s="171" t="s">
        <v>213</v>
      </c>
      <c r="D3" s="172" t="s">
        <v>214</v>
      </c>
    </row>
    <row r="4" spans="1:4" ht="96.75" customHeight="1" thickBot="1" x14ac:dyDescent="0.3">
      <c r="A4" s="170" t="s">
        <v>211</v>
      </c>
      <c r="B4" s="171" t="s">
        <v>215</v>
      </c>
      <c r="C4" s="171" t="s">
        <v>216</v>
      </c>
      <c r="D4" s="172" t="s">
        <v>217</v>
      </c>
    </row>
    <row r="5" spans="1:4" ht="29.25" thickBot="1" x14ac:dyDescent="0.3">
      <c r="A5" s="170" t="s">
        <v>211</v>
      </c>
      <c r="B5" s="171" t="s">
        <v>218</v>
      </c>
      <c r="C5" s="171">
        <v>0.56999999999999995</v>
      </c>
      <c r="D5" s="172" t="s">
        <v>219</v>
      </c>
    </row>
    <row r="6" spans="1:4" ht="51" customHeight="1" thickBot="1" x14ac:dyDescent="0.3">
      <c r="A6" s="170" t="s">
        <v>211</v>
      </c>
      <c r="B6" s="171" t="s">
        <v>220</v>
      </c>
      <c r="C6" s="171" t="s">
        <v>221</v>
      </c>
      <c r="D6" s="172" t="s">
        <v>214</v>
      </c>
    </row>
    <row r="7" spans="1:4" ht="65.25" customHeight="1" thickBot="1" x14ac:dyDescent="0.3">
      <c r="A7" s="170" t="s">
        <v>222</v>
      </c>
      <c r="B7" s="171" t="s">
        <v>223</v>
      </c>
      <c r="C7" s="171" t="s">
        <v>224</v>
      </c>
      <c r="D7" s="172" t="s">
        <v>225</v>
      </c>
    </row>
    <row r="8" spans="1:4" ht="35.25" customHeight="1" thickBot="1" x14ac:dyDescent="0.3">
      <c r="A8" s="170" t="s">
        <v>222</v>
      </c>
      <c r="B8" s="171" t="s">
        <v>226</v>
      </c>
      <c r="C8" s="171" t="s">
        <v>227</v>
      </c>
      <c r="D8" s="172" t="s">
        <v>225</v>
      </c>
    </row>
    <row r="9" spans="1:4" ht="43.5" customHeight="1" thickBot="1" x14ac:dyDescent="0.3">
      <c r="A9" s="170" t="s">
        <v>222</v>
      </c>
      <c r="B9" s="171" t="s">
        <v>228</v>
      </c>
      <c r="C9" s="171">
        <v>2.08</v>
      </c>
      <c r="D9" s="172" t="s">
        <v>229</v>
      </c>
    </row>
    <row r="10" spans="1:4" ht="42" customHeight="1" thickBot="1" x14ac:dyDescent="0.3">
      <c r="A10" s="170" t="s">
        <v>222</v>
      </c>
      <c r="B10" s="171" t="s">
        <v>230</v>
      </c>
      <c r="C10" s="171">
        <v>1.98</v>
      </c>
      <c r="D10" s="172" t="s">
        <v>225</v>
      </c>
    </row>
    <row r="11" spans="1:4" ht="29.25" customHeight="1" thickBot="1" x14ac:dyDescent="0.3">
      <c r="A11" s="170" t="s">
        <v>231</v>
      </c>
      <c r="B11" s="171" t="s">
        <v>232</v>
      </c>
      <c r="C11" s="171">
        <v>0.79</v>
      </c>
      <c r="D11" s="172" t="s">
        <v>229</v>
      </c>
    </row>
    <row r="12" spans="1:4" ht="48" customHeight="1" thickBot="1" x14ac:dyDescent="0.3">
      <c r="A12" s="170" t="s">
        <v>231</v>
      </c>
      <c r="B12" s="171" t="s">
        <v>230</v>
      </c>
      <c r="C12" s="171">
        <v>1.8</v>
      </c>
      <c r="D12" s="172" t="s">
        <v>225</v>
      </c>
    </row>
    <row r="13" spans="1:4" ht="29.25" customHeight="1" thickBot="1" x14ac:dyDescent="0.3">
      <c r="A13" s="170" t="s">
        <v>231</v>
      </c>
      <c r="B13" s="171" t="s">
        <v>233</v>
      </c>
      <c r="C13" s="171">
        <v>1.6</v>
      </c>
      <c r="D13" s="172" t="s">
        <v>234</v>
      </c>
    </row>
    <row r="14" spans="1:4" ht="26.25" customHeight="1" thickBot="1" x14ac:dyDescent="0.3">
      <c r="A14" s="170" t="s">
        <v>235</v>
      </c>
      <c r="B14" s="171" t="s">
        <v>223</v>
      </c>
      <c r="C14" s="171">
        <v>4.3</v>
      </c>
      <c r="D14" s="172" t="s">
        <v>236</v>
      </c>
    </row>
    <row r="15" spans="1:4" ht="27.75" customHeight="1" thickBot="1" x14ac:dyDescent="0.3">
      <c r="A15" s="170" t="s">
        <v>235</v>
      </c>
      <c r="B15" s="171" t="s">
        <v>230</v>
      </c>
      <c r="C15" s="171">
        <v>2.17</v>
      </c>
      <c r="D15" s="172" t="s">
        <v>236</v>
      </c>
    </row>
    <row r="16" spans="1:4" ht="21" customHeight="1" thickBot="1" x14ac:dyDescent="0.3">
      <c r="A16" s="170" t="s">
        <v>235</v>
      </c>
      <c r="B16" s="171" t="s">
        <v>233</v>
      </c>
      <c r="C16" s="171">
        <v>2.78</v>
      </c>
      <c r="D16" s="172" t="s">
        <v>237</v>
      </c>
    </row>
    <row r="17" spans="1:4" ht="27" customHeight="1" thickBot="1" x14ac:dyDescent="0.3">
      <c r="A17" s="170" t="s">
        <v>235</v>
      </c>
      <c r="B17" s="171" t="s">
        <v>226</v>
      </c>
      <c r="C17" s="171">
        <v>4.8</v>
      </c>
      <c r="D17" s="172" t="s">
        <v>238</v>
      </c>
    </row>
    <row r="18" spans="1:4" ht="25.5" customHeight="1" thickBot="1" x14ac:dyDescent="0.3">
      <c r="A18" s="170" t="s">
        <v>239</v>
      </c>
      <c r="B18" s="171" t="s">
        <v>220</v>
      </c>
      <c r="C18" s="171">
        <v>1.19</v>
      </c>
      <c r="D18" s="172" t="s">
        <v>240</v>
      </c>
    </row>
    <row r="19" spans="1:4" ht="33.75" customHeight="1" thickBot="1" x14ac:dyDescent="0.3">
      <c r="A19" s="170" t="s">
        <v>239</v>
      </c>
      <c r="B19" s="171" t="s">
        <v>212</v>
      </c>
      <c r="C19" s="171">
        <v>1.5</v>
      </c>
      <c r="D19" s="172" t="s">
        <v>240</v>
      </c>
    </row>
  </sheetData>
  <mergeCells count="4">
    <mergeCell ref="A1:A2"/>
    <mergeCell ref="B1:B2"/>
    <mergeCell ref="C1:C2"/>
    <mergeCell ref="D1:D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DAEA-2E0D-46E9-B7DD-5741EDBA2D91}">
  <dimension ref="A2:AB133"/>
  <sheetViews>
    <sheetView topLeftCell="B31" zoomScale="120" zoomScaleNormal="120" workbookViewId="0">
      <selection activeCell="B30" sqref="B30"/>
    </sheetView>
  </sheetViews>
  <sheetFormatPr defaultRowHeight="15" x14ac:dyDescent="0.25"/>
  <cols>
    <col min="1" max="1" width="29.5703125" customWidth="1"/>
    <col min="2" max="2" width="14.42578125" customWidth="1"/>
    <col min="3" max="3" width="11.42578125" customWidth="1"/>
    <col min="4" max="4" width="12.42578125" customWidth="1"/>
    <col min="5" max="5" width="12" customWidth="1"/>
    <col min="6" max="6" width="11.42578125" customWidth="1"/>
    <col min="7" max="7" width="10.140625" customWidth="1"/>
    <col min="8" max="9" width="10.85546875" customWidth="1"/>
    <col min="10" max="10" width="13.140625" customWidth="1"/>
    <col min="11" max="11" width="11.42578125" customWidth="1"/>
    <col min="12" max="12" width="14" customWidth="1"/>
    <col min="13" max="13" width="12.7109375" customWidth="1"/>
    <col min="14" max="14" width="12.140625" customWidth="1"/>
    <col min="15" max="16" width="11.140625" customWidth="1"/>
    <col min="17" max="17" width="11.28515625" customWidth="1"/>
    <col min="18" max="18" width="11.140625" customWidth="1"/>
    <col min="19" max="19" width="10.7109375" customWidth="1"/>
  </cols>
  <sheetData>
    <row r="2" spans="1:20" x14ac:dyDescent="0.25">
      <c r="B2" t="s">
        <v>169</v>
      </c>
      <c r="C2" t="s">
        <v>170</v>
      </c>
      <c r="D2" t="s">
        <v>241</v>
      </c>
      <c r="E2" t="s">
        <v>242</v>
      </c>
      <c r="F2" t="s">
        <v>243</v>
      </c>
      <c r="G2" t="s">
        <v>244</v>
      </c>
      <c r="H2" t="s">
        <v>245</v>
      </c>
      <c r="I2" t="s">
        <v>246</v>
      </c>
      <c r="J2" t="s">
        <v>247</v>
      </c>
      <c r="K2" t="s">
        <v>248</v>
      </c>
      <c r="L2" t="s">
        <v>249</v>
      </c>
      <c r="M2" t="s">
        <v>250</v>
      </c>
      <c r="N2" t="s">
        <v>251</v>
      </c>
    </row>
    <row r="3" spans="1:20" x14ac:dyDescent="0.25">
      <c r="A3" s="104" t="s">
        <v>252</v>
      </c>
      <c r="B3" s="121">
        <f t="shared" ref="B3:N3" si="0" xml:space="preserve"> 1.13*5.99</f>
        <v>6.7686999999999999</v>
      </c>
      <c r="C3" s="121">
        <f t="shared" si="0"/>
        <v>6.7686999999999999</v>
      </c>
      <c r="D3" s="121">
        <f t="shared" si="0"/>
        <v>6.7686999999999999</v>
      </c>
      <c r="E3" s="121">
        <f t="shared" si="0"/>
        <v>6.7686999999999999</v>
      </c>
      <c r="F3" s="121">
        <f t="shared" si="0"/>
        <v>6.7686999999999999</v>
      </c>
      <c r="G3" s="121">
        <f t="shared" si="0"/>
        <v>6.7686999999999999</v>
      </c>
      <c r="H3" s="121">
        <f t="shared" si="0"/>
        <v>6.7686999999999999</v>
      </c>
      <c r="I3" s="121">
        <f t="shared" si="0"/>
        <v>6.7686999999999999</v>
      </c>
      <c r="J3" s="121">
        <f t="shared" si="0"/>
        <v>6.7686999999999999</v>
      </c>
      <c r="K3" s="121">
        <f t="shared" si="0"/>
        <v>6.7686999999999999</v>
      </c>
      <c r="L3" s="121">
        <f t="shared" si="0"/>
        <v>6.7686999999999999</v>
      </c>
      <c r="M3" s="121">
        <f t="shared" si="0"/>
        <v>6.7686999999999999</v>
      </c>
      <c r="N3" s="121">
        <f t="shared" si="0"/>
        <v>6.7686999999999999</v>
      </c>
    </row>
    <row r="4" spans="1:20" x14ac:dyDescent="0.25">
      <c r="A4" s="104" t="s">
        <v>253</v>
      </c>
      <c r="B4" s="121">
        <f xml:space="preserve"> 'Preço do QAV'!$J$3</f>
        <v>3.827538076923076</v>
      </c>
      <c r="C4" s="121">
        <f xml:space="preserve"> 'Preço do QAV'!$J$3</f>
        <v>3.827538076923076</v>
      </c>
      <c r="D4" s="121">
        <f xml:space="preserve"> 'Preço do QAV'!$J$3</f>
        <v>3.827538076923076</v>
      </c>
      <c r="E4" s="121">
        <f xml:space="preserve"> 'Preço do QAV'!$J$3</f>
        <v>3.827538076923076</v>
      </c>
      <c r="F4" s="121">
        <f xml:space="preserve"> 'Preço do QAV'!$J$3</f>
        <v>3.827538076923076</v>
      </c>
      <c r="G4" s="121">
        <f xml:space="preserve"> 'Preço do QAV'!$J$3</f>
        <v>3.827538076923076</v>
      </c>
      <c r="H4" s="121">
        <f xml:space="preserve"> 'Preço do QAV'!$J$3</f>
        <v>3.827538076923076</v>
      </c>
      <c r="I4" s="121">
        <f xml:space="preserve"> 'Preço do QAV'!$J$3</f>
        <v>3.827538076923076</v>
      </c>
      <c r="J4" s="121">
        <f xml:space="preserve"> 'Preço do QAV'!$J$3</f>
        <v>3.827538076923076</v>
      </c>
      <c r="K4" s="121">
        <f xml:space="preserve"> 'Preço do QAV'!$J$3</f>
        <v>3.827538076923076</v>
      </c>
      <c r="L4" s="121">
        <f xml:space="preserve"> 'Preço do QAV'!$J$3</f>
        <v>3.827538076923076</v>
      </c>
      <c r="M4" s="121">
        <f xml:space="preserve"> 'Preço do QAV'!$J$3</f>
        <v>3.827538076923076</v>
      </c>
      <c r="N4" s="121">
        <f xml:space="preserve"> 'Preço do QAV'!$J$3</f>
        <v>3.827538076923076</v>
      </c>
      <c r="Q4" t="s">
        <v>109</v>
      </c>
    </row>
    <row r="5" spans="1:20" x14ac:dyDescent="0.25">
      <c r="Q5">
        <f xml:space="preserve"> B3-B4</f>
        <v>2.9411619230769239</v>
      </c>
    </row>
    <row r="6" spans="1:20" x14ac:dyDescent="0.25">
      <c r="A6" s="108" t="s">
        <v>121</v>
      </c>
      <c r="B6" s="109">
        <f>B3/B4-1</f>
        <v>0.76842133610890118</v>
      </c>
      <c r="C6" s="109">
        <f>C3/C4-1</f>
        <v>0.76842133610890118</v>
      </c>
      <c r="D6" s="109">
        <f>D3/D4-1</f>
        <v>0.76842133610890118</v>
      </c>
      <c r="E6" s="109">
        <f t="shared" ref="E6:J6" si="1">E3/E4-1</f>
        <v>0.76842133610890118</v>
      </c>
      <c r="F6" s="109">
        <f t="shared" si="1"/>
        <v>0.76842133610890118</v>
      </c>
      <c r="G6" s="109">
        <f t="shared" si="1"/>
        <v>0.76842133610890118</v>
      </c>
      <c r="H6" s="109">
        <f t="shared" si="1"/>
        <v>0.76842133610890118</v>
      </c>
      <c r="I6" s="109">
        <f t="shared" si="1"/>
        <v>0.76842133610890118</v>
      </c>
      <c r="J6" s="109">
        <f t="shared" si="1"/>
        <v>0.76842133610890118</v>
      </c>
      <c r="K6" s="109">
        <f t="shared" ref="K6:N6" si="2">K3/K4-1</f>
        <v>0.76842133610890118</v>
      </c>
      <c r="L6" s="109">
        <f t="shared" si="2"/>
        <v>0.76842133610890118</v>
      </c>
      <c r="M6" s="109">
        <f t="shared" si="2"/>
        <v>0.76842133610890118</v>
      </c>
      <c r="N6" s="109">
        <f t="shared" si="2"/>
        <v>0.76842133610890118</v>
      </c>
    </row>
    <row r="8" spans="1:20" x14ac:dyDescent="0.25">
      <c r="A8" s="42" t="s">
        <v>112</v>
      </c>
      <c r="B8" s="119">
        <v>0.11</v>
      </c>
      <c r="C8" s="119">
        <f xml:space="preserve"> A49</f>
        <v>0.12443551191660115</v>
      </c>
      <c r="D8" s="119">
        <f xml:space="preserve"> A56</f>
        <v>7.9652554443065932E-2</v>
      </c>
      <c r="E8" s="119">
        <f xml:space="preserve"> A63</f>
        <v>5.0290998317487366E-2</v>
      </c>
      <c r="F8" s="119">
        <f xml:space="preserve"> A70</f>
        <v>3.1471252105095909E-2</v>
      </c>
      <c r="G8" s="119">
        <f xml:space="preserve"> A77</f>
        <v>1.9582913074497652E-2</v>
      </c>
      <c r="H8" s="119">
        <f>A84</f>
        <v>1.2142089903026903E-2</v>
      </c>
      <c r="I8" s="119">
        <f xml:space="preserve"> A91</f>
        <v>7.5118006543426425E-3</v>
      </c>
      <c r="J8" s="119">
        <f xml:space="preserve"> A98</f>
        <v>4.6408219791876353E-3</v>
      </c>
      <c r="K8" s="119">
        <f xml:space="preserve"> A105</f>
        <v>2.8646680608597663E-3</v>
      </c>
      <c r="L8" s="119">
        <f xml:space="preserve"> A112</f>
        <v>1.7673560705827158E-3</v>
      </c>
      <c r="M8" s="119">
        <f xml:space="preserve"> A119</f>
        <v>1.0900137849729253E-3</v>
      </c>
      <c r="N8" s="119">
        <f>AA126</f>
        <v>0</v>
      </c>
      <c r="P8" t="s">
        <v>122</v>
      </c>
      <c r="T8" s="108" t="s">
        <v>114</v>
      </c>
    </row>
    <row r="9" spans="1:20" x14ac:dyDescent="0.25">
      <c r="T9" s="107" t="s">
        <v>115</v>
      </c>
    </row>
    <row r="10" spans="1:20" x14ac:dyDescent="0.25">
      <c r="A10" t="s">
        <v>123</v>
      </c>
      <c r="B10" s="105">
        <f>B6*B8</f>
        <v>8.4526346971979124E-2</v>
      </c>
      <c r="C10" s="105">
        <f>C6*C8</f>
        <v>9.5618902326349758E-2</v>
      </c>
      <c r="D10" s="105">
        <f>D6*D8</f>
        <v>6.1206722309627717E-2</v>
      </c>
      <c r="E10" s="105">
        <f t="shared" ref="E10:J10" si="3">E6*E8</f>
        <v>3.8644676121374143E-2</v>
      </c>
      <c r="F10" s="105">
        <f t="shared" si="3"/>
        <v>2.4183181591617867E-2</v>
      </c>
      <c r="G10" s="105">
        <f t="shared" si="3"/>
        <v>1.5047928229609955E-2</v>
      </c>
      <c r="H10" s="105">
        <f t="shared" si="3"/>
        <v>9.3302409464383305E-3</v>
      </c>
      <c r="I10" s="105">
        <f t="shared" si="3"/>
        <v>5.772227895393691E-3</v>
      </c>
      <c r="J10" s="105">
        <f t="shared" si="3"/>
        <v>3.566106625890918E-3</v>
      </c>
      <c r="K10" s="105">
        <f t="shared" ref="K10:N10" si="4">K6*K8</f>
        <v>2.2012720588343569E-3</v>
      </c>
      <c r="L10" s="105">
        <f t="shared" si="4"/>
        <v>1.3580741131373479E-3</v>
      </c>
      <c r="M10" s="105">
        <f t="shared" si="4"/>
        <v>8.3758984902601575E-4</v>
      </c>
      <c r="N10" s="105">
        <f t="shared" si="4"/>
        <v>0</v>
      </c>
      <c r="P10" s="42" t="s">
        <v>113</v>
      </c>
      <c r="T10" s="111" t="s">
        <v>116</v>
      </c>
    </row>
    <row r="11" spans="1:20" x14ac:dyDescent="0.25">
      <c r="T11" s="110" t="s">
        <v>117</v>
      </c>
    </row>
    <row r="12" spans="1:20" x14ac:dyDescent="0.25">
      <c r="A12" s="121" t="s">
        <v>110</v>
      </c>
      <c r="B12" s="103">
        <v>0.3</v>
      </c>
      <c r="C12" s="103">
        <v>0.3</v>
      </c>
      <c r="D12" s="103">
        <v>0.3</v>
      </c>
      <c r="E12" s="103">
        <v>0.3</v>
      </c>
      <c r="F12" s="103">
        <v>0.3</v>
      </c>
      <c r="G12" s="103">
        <v>0.3</v>
      </c>
      <c r="H12" s="103">
        <v>0.3</v>
      </c>
      <c r="I12" s="103">
        <v>0.3</v>
      </c>
      <c r="J12" s="103">
        <v>0.3</v>
      </c>
      <c r="K12" s="103">
        <v>0.3</v>
      </c>
      <c r="L12" s="103">
        <v>0.3</v>
      </c>
      <c r="M12" s="103">
        <v>0.3</v>
      </c>
      <c r="N12" s="103">
        <v>0.3</v>
      </c>
      <c r="P12" t="s">
        <v>261</v>
      </c>
      <c r="T12" s="112" t="s">
        <v>118</v>
      </c>
    </row>
    <row r="13" spans="1:20" x14ac:dyDescent="0.25">
      <c r="T13" t="s">
        <v>119</v>
      </c>
    </row>
    <row r="14" spans="1:20" x14ac:dyDescent="0.25">
      <c r="A14" s="107" t="s">
        <v>111</v>
      </c>
      <c r="B14" s="131">
        <f>B10*B12</f>
        <v>2.5357904091593737E-2</v>
      </c>
      <c r="C14" s="131">
        <f>C10*C12</f>
        <v>2.8685670697904925E-2</v>
      </c>
      <c r="D14" s="131">
        <f>D10*D12</f>
        <v>1.8362016692888315E-2</v>
      </c>
      <c r="E14" s="131">
        <f t="shared" ref="E14:J14" si="5">E10*E12</f>
        <v>1.1593402836412242E-2</v>
      </c>
      <c r="F14" s="131">
        <f t="shared" si="5"/>
        <v>7.2549544774853595E-3</v>
      </c>
      <c r="G14" s="131">
        <f t="shared" si="5"/>
        <v>4.5143784688829866E-3</v>
      </c>
      <c r="H14" s="131">
        <f t="shared" si="5"/>
        <v>2.7990722839314991E-3</v>
      </c>
      <c r="I14" s="131">
        <f t="shared" si="5"/>
        <v>1.7316683686181072E-3</v>
      </c>
      <c r="J14" s="131">
        <f t="shared" si="5"/>
        <v>1.0698319877672753E-3</v>
      </c>
      <c r="K14" s="131">
        <f>K10*K12</f>
        <v>6.6038161765030702E-4</v>
      </c>
      <c r="L14" s="131">
        <f t="shared" ref="L14:N14" si="6">L10*L12</f>
        <v>4.0742223394120436E-4</v>
      </c>
      <c r="M14" s="131">
        <f t="shared" si="6"/>
        <v>2.5127695470780471E-4</v>
      </c>
      <c r="N14" s="131">
        <f t="shared" si="6"/>
        <v>0</v>
      </c>
      <c r="T14" t="s">
        <v>120</v>
      </c>
    </row>
    <row r="16" spans="1:20" x14ac:dyDescent="0.25">
      <c r="A16" s="111" t="s">
        <v>124</v>
      </c>
      <c r="B16" s="110">
        <v>-1.29</v>
      </c>
      <c r="C16" s="110">
        <v>-1.29</v>
      </c>
      <c r="D16" s="110">
        <v>-1.29</v>
      </c>
      <c r="E16" s="110">
        <v>-1.29</v>
      </c>
      <c r="F16" s="110">
        <v>-1.29</v>
      </c>
      <c r="G16" s="110">
        <v>-1.29</v>
      </c>
      <c r="H16" s="110">
        <v>-1.29</v>
      </c>
      <c r="I16" s="110">
        <v>-1.29</v>
      </c>
      <c r="J16" s="110">
        <v>-1.29</v>
      </c>
      <c r="K16" s="110">
        <v>-1.29</v>
      </c>
      <c r="L16" s="110">
        <v>-1.29</v>
      </c>
      <c r="M16" s="110">
        <v>-1.29</v>
      </c>
      <c r="N16" s="110">
        <v>-1.29</v>
      </c>
    </row>
    <row r="17" spans="1:20" x14ac:dyDescent="0.25">
      <c r="A17" s="111"/>
      <c r="B17" s="111">
        <v>-1.47</v>
      </c>
      <c r="C17" s="111">
        <v>-1.47</v>
      </c>
      <c r="D17" s="111">
        <v>-1.47</v>
      </c>
      <c r="E17" s="111">
        <v>-1.47</v>
      </c>
      <c r="F17" s="111">
        <v>-1.47</v>
      </c>
      <c r="G17" s="111">
        <v>-1.47</v>
      </c>
      <c r="H17" s="111">
        <v>-1.47</v>
      </c>
      <c r="I17" s="111">
        <v>-1.47</v>
      </c>
      <c r="J17" s="111">
        <v>-1.47</v>
      </c>
      <c r="K17" s="111">
        <v>-1.47</v>
      </c>
      <c r="L17" s="111">
        <v>-1.47</v>
      </c>
      <c r="M17" s="111">
        <v>-1.47</v>
      </c>
      <c r="N17" s="111">
        <v>-1.47</v>
      </c>
    </row>
    <row r="18" spans="1:20" x14ac:dyDescent="0.25">
      <c r="A18" s="111"/>
      <c r="B18" s="111">
        <v>-1.59</v>
      </c>
      <c r="C18" s="111">
        <v>-1.59</v>
      </c>
      <c r="D18" s="111">
        <v>-1.59</v>
      </c>
      <c r="E18" s="111">
        <v>-1.59</v>
      </c>
      <c r="F18" s="111">
        <v>-1.59</v>
      </c>
      <c r="G18" s="111">
        <v>-1.59</v>
      </c>
      <c r="H18" s="111">
        <v>-1.59</v>
      </c>
      <c r="I18" s="111">
        <v>-1.59</v>
      </c>
      <c r="J18" s="111">
        <v>-1.59</v>
      </c>
      <c r="K18" s="111">
        <v>-1.59</v>
      </c>
      <c r="L18" s="111">
        <v>-1.59</v>
      </c>
      <c r="M18" s="111">
        <v>-1.59</v>
      </c>
      <c r="N18" s="111">
        <v>-1.59</v>
      </c>
      <c r="P18" t="s">
        <v>125</v>
      </c>
    </row>
    <row r="20" spans="1:20" x14ac:dyDescent="0.25">
      <c r="A20" t="s">
        <v>126</v>
      </c>
      <c r="B20" t="s">
        <v>127</v>
      </c>
    </row>
    <row r="21" spans="1:20" x14ac:dyDescent="0.25">
      <c r="A21" t="s">
        <v>129</v>
      </c>
      <c r="B21" t="s">
        <v>130</v>
      </c>
      <c r="E21" t="s">
        <v>263</v>
      </c>
      <c r="F21" t="s">
        <v>262</v>
      </c>
    </row>
    <row r="22" spans="1:20" x14ac:dyDescent="0.25">
      <c r="A22" t="s">
        <v>131</v>
      </c>
      <c r="B22" t="s">
        <v>132</v>
      </c>
      <c r="P22" t="s">
        <v>128</v>
      </c>
    </row>
    <row r="23" spans="1:20" x14ac:dyDescent="0.25">
      <c r="A23" t="s">
        <v>134</v>
      </c>
      <c r="B23" t="s">
        <v>133</v>
      </c>
    </row>
    <row r="25" spans="1:20" ht="105" x14ac:dyDescent="0.25">
      <c r="A25" s="32" t="s">
        <v>135</v>
      </c>
      <c r="B25" s="32" t="s">
        <v>136</v>
      </c>
      <c r="C25" s="32" t="s">
        <v>136</v>
      </c>
      <c r="D25" s="32" t="s">
        <v>136</v>
      </c>
      <c r="E25" s="32" t="s">
        <v>171</v>
      </c>
      <c r="F25" s="32" t="s">
        <v>172</v>
      </c>
      <c r="G25" s="32" t="s">
        <v>173</v>
      </c>
      <c r="H25" s="32" t="s">
        <v>174</v>
      </c>
      <c r="I25" s="32" t="s">
        <v>175</v>
      </c>
      <c r="J25" s="32" t="s">
        <v>176</v>
      </c>
      <c r="K25" s="32" t="s">
        <v>182</v>
      </c>
      <c r="L25" s="32" t="s">
        <v>183</v>
      </c>
      <c r="M25" s="32" t="s">
        <v>184</v>
      </c>
      <c r="N25" s="32" t="s">
        <v>185</v>
      </c>
    </row>
    <row r="26" spans="1:20" x14ac:dyDescent="0.25">
      <c r="B26" s="106">
        <f>B14</f>
        <v>2.5357904091593737E-2</v>
      </c>
      <c r="C26" s="106">
        <f>C14</f>
        <v>2.8685670697904925E-2</v>
      </c>
      <c r="D26" s="106">
        <f>D14</f>
        <v>1.8362016692888315E-2</v>
      </c>
      <c r="E26" s="106">
        <f t="shared" ref="E26:I26" si="7">E14</f>
        <v>1.1593402836412242E-2</v>
      </c>
      <c r="F26" s="106">
        <f t="shared" si="7"/>
        <v>7.2549544774853595E-3</v>
      </c>
      <c r="G26" s="106">
        <f t="shared" si="7"/>
        <v>4.5143784688829866E-3</v>
      </c>
      <c r="H26" s="106">
        <f t="shared" si="7"/>
        <v>2.7990722839314991E-3</v>
      </c>
      <c r="I26" s="106">
        <f t="shared" si="7"/>
        <v>1.7316683686181072E-3</v>
      </c>
      <c r="J26" s="106">
        <f>J14</f>
        <v>1.0698319877672753E-3</v>
      </c>
      <c r="K26" s="106">
        <f>K14</f>
        <v>6.6038161765030702E-4</v>
      </c>
      <c r="L26" s="106">
        <f t="shared" ref="L26:N26" si="8">L14</f>
        <v>4.0742223394120436E-4</v>
      </c>
      <c r="M26" s="106">
        <f t="shared" si="8"/>
        <v>2.5127695470780471E-4</v>
      </c>
      <c r="N26" s="106">
        <f t="shared" si="8"/>
        <v>0</v>
      </c>
    </row>
    <row r="27" spans="1:20" x14ac:dyDescent="0.25">
      <c r="O27" s="32"/>
      <c r="P27" s="32"/>
      <c r="Q27" s="32"/>
      <c r="R27" s="32"/>
      <c r="S27" s="32"/>
      <c r="T27" s="32"/>
    </row>
    <row r="28" spans="1:20" x14ac:dyDescent="0.25">
      <c r="A28" t="s">
        <v>137</v>
      </c>
      <c r="B28" t="s">
        <v>138</v>
      </c>
    </row>
    <row r="29" spans="1:20" s="32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25">
      <c r="A30" s="110" t="s">
        <v>137</v>
      </c>
      <c r="B30" s="141">
        <f t="shared" ref="B30:N30" si="9">B16*B$26</f>
        <v>-3.271169627815592E-2</v>
      </c>
      <c r="C30" s="133">
        <f t="shared" si="9"/>
        <v>-3.7004515200297357E-2</v>
      </c>
      <c r="D30" s="133">
        <f t="shared" si="9"/>
        <v>-2.3687001533825927E-2</v>
      </c>
      <c r="E30" s="133">
        <f t="shared" si="9"/>
        <v>-1.4955489658971793E-2</v>
      </c>
      <c r="F30" s="133">
        <f t="shared" si="9"/>
        <v>-9.3588912759561133E-3</v>
      </c>
      <c r="G30" s="133">
        <f t="shared" si="9"/>
        <v>-5.8235482248590528E-3</v>
      </c>
      <c r="H30" s="133">
        <f t="shared" si="9"/>
        <v>-3.6108032462716338E-3</v>
      </c>
      <c r="I30" s="133">
        <f t="shared" si="9"/>
        <v>-2.2338521955173585E-3</v>
      </c>
      <c r="J30" s="133">
        <f t="shared" si="9"/>
        <v>-1.3800832642197852E-3</v>
      </c>
      <c r="K30" s="133">
        <f t="shared" si="9"/>
        <v>-8.518922867688961E-4</v>
      </c>
      <c r="L30" s="133">
        <f t="shared" si="9"/>
        <v>-5.2557468178415366E-4</v>
      </c>
      <c r="M30" s="133">
        <f t="shared" si="9"/>
        <v>-3.2414727157306807E-4</v>
      </c>
      <c r="N30" s="133">
        <f t="shared" si="9"/>
        <v>0</v>
      </c>
    </row>
    <row r="31" spans="1:20" x14ac:dyDescent="0.25">
      <c r="A31" s="110"/>
      <c r="B31" s="141">
        <f t="shared" ref="B31:N31" si="10">B17*B$26</f>
        <v>-3.727611901464279E-2</v>
      </c>
      <c r="C31" s="133">
        <f t="shared" si="10"/>
        <v>-4.216793592592024E-2</v>
      </c>
      <c r="D31" s="133">
        <f t="shared" si="10"/>
        <v>-2.6992164538545822E-2</v>
      </c>
      <c r="E31" s="133">
        <f t="shared" si="10"/>
        <v>-1.7042302169525996E-2</v>
      </c>
      <c r="F31" s="133">
        <f t="shared" si="10"/>
        <v>-1.0664783081903478E-2</v>
      </c>
      <c r="G31" s="133">
        <f t="shared" si="10"/>
        <v>-6.6361363492579905E-3</v>
      </c>
      <c r="H31" s="133">
        <f t="shared" si="10"/>
        <v>-4.1146362573793033E-3</v>
      </c>
      <c r="I31" s="133">
        <f t="shared" si="10"/>
        <v>-2.5455525018686174E-3</v>
      </c>
      <c r="J31" s="133">
        <f t="shared" si="10"/>
        <v>-1.5726530220178947E-3</v>
      </c>
      <c r="K31" s="133">
        <f t="shared" si="10"/>
        <v>-9.7076097794595131E-4</v>
      </c>
      <c r="L31" s="133">
        <f t="shared" si="10"/>
        <v>-5.9891068389357038E-4</v>
      </c>
      <c r="M31" s="133">
        <f t="shared" si="10"/>
        <v>-3.693771234204729E-4</v>
      </c>
      <c r="N31" s="133">
        <f t="shared" si="10"/>
        <v>0</v>
      </c>
    </row>
    <row r="32" spans="1:20" x14ac:dyDescent="0.25">
      <c r="A32" s="110"/>
      <c r="B32" s="141">
        <f t="shared" ref="B32:N32" si="11">B18*B$26</f>
        <v>-4.0319067505634042E-2</v>
      </c>
      <c r="C32" s="133">
        <f t="shared" si="11"/>
        <v>-4.5610216409668836E-2</v>
      </c>
      <c r="D32" s="133">
        <f t="shared" si="11"/>
        <v>-2.9195606541692423E-2</v>
      </c>
      <c r="E32" s="133">
        <f t="shared" si="11"/>
        <v>-1.8433510509895466E-2</v>
      </c>
      <c r="F32" s="133">
        <f t="shared" si="11"/>
        <v>-1.1535377619201722E-2</v>
      </c>
      <c r="G32" s="133">
        <f t="shared" si="11"/>
        <v>-7.1778617655239487E-3</v>
      </c>
      <c r="H32" s="133">
        <f t="shared" si="11"/>
        <v>-4.4505249314510838E-3</v>
      </c>
      <c r="I32" s="133">
        <f t="shared" si="11"/>
        <v>-2.7533527061027905E-3</v>
      </c>
      <c r="J32" s="133">
        <f t="shared" si="11"/>
        <v>-1.701032860549968E-3</v>
      </c>
      <c r="K32" s="133">
        <f t="shared" si="11"/>
        <v>-1.0500067720639883E-3</v>
      </c>
      <c r="L32" s="133">
        <f t="shared" si="11"/>
        <v>-6.47801351966515E-4</v>
      </c>
      <c r="M32" s="133">
        <f t="shared" si="11"/>
        <v>-3.9953035798540954E-4</v>
      </c>
      <c r="N32" s="133">
        <f t="shared" si="11"/>
        <v>0</v>
      </c>
    </row>
    <row r="34" spans="1:28" x14ac:dyDescent="0.25">
      <c r="A34" t="s">
        <v>139</v>
      </c>
      <c r="B34" t="s">
        <v>140</v>
      </c>
    </row>
    <row r="35" spans="1:28" x14ac:dyDescent="0.25">
      <c r="A35">
        <v>2030</v>
      </c>
    </row>
    <row r="36" spans="1:28" x14ac:dyDescent="0.25">
      <c r="A36">
        <v>2040</v>
      </c>
      <c r="AB36" s="129" t="s">
        <v>161</v>
      </c>
    </row>
    <row r="37" spans="1:28" x14ac:dyDescent="0.25">
      <c r="A37">
        <v>2050</v>
      </c>
    </row>
    <row r="39" spans="1:28" x14ac:dyDescent="0.25">
      <c r="B39" s="121" t="s">
        <v>166</v>
      </c>
      <c r="F39" s="121" t="s">
        <v>167</v>
      </c>
    </row>
    <row r="40" spans="1:28" x14ac:dyDescent="0.25">
      <c r="A40" s="121"/>
      <c r="B40" t="s">
        <v>177</v>
      </c>
      <c r="C40" s="121"/>
      <c r="D40" s="121"/>
      <c r="E40" s="121"/>
      <c r="F40" s="42">
        <v>2019</v>
      </c>
      <c r="J40" t="s">
        <v>142</v>
      </c>
      <c r="M40" t="s">
        <v>160</v>
      </c>
      <c r="AA40" s="115" t="s">
        <v>147</v>
      </c>
      <c r="AB40" s="32" t="s">
        <v>147</v>
      </c>
    </row>
    <row r="41" spans="1:28" ht="75" x14ac:dyDescent="0.25">
      <c r="A41" s="139" t="s">
        <v>165</v>
      </c>
      <c r="B41" s="137" t="s">
        <v>124</v>
      </c>
      <c r="C41" s="138" t="s">
        <v>137</v>
      </c>
      <c r="D41" s="139" t="s">
        <v>164</v>
      </c>
      <c r="E41" s="140" t="s">
        <v>162</v>
      </c>
      <c r="F41" s="116" t="s">
        <v>150</v>
      </c>
      <c r="G41" s="116" t="s">
        <v>156</v>
      </c>
      <c r="H41" s="116" t="s">
        <v>152</v>
      </c>
      <c r="I41" s="116" t="s">
        <v>153</v>
      </c>
      <c r="J41" s="116" t="s">
        <v>151</v>
      </c>
      <c r="K41" s="116" t="s">
        <v>156</v>
      </c>
      <c r="L41" s="116" t="s">
        <v>155</v>
      </c>
      <c r="M41" s="116" t="s">
        <v>154</v>
      </c>
      <c r="N41" s="116" t="s">
        <v>157</v>
      </c>
      <c r="O41" s="116" t="s">
        <v>159</v>
      </c>
      <c r="P41" s="116" t="s">
        <v>158</v>
      </c>
      <c r="Q41" s="116" t="s">
        <v>143</v>
      </c>
      <c r="R41" s="116" t="s">
        <v>145</v>
      </c>
      <c r="S41" s="116" t="s">
        <v>146</v>
      </c>
      <c r="T41" s="116" t="s">
        <v>148</v>
      </c>
      <c r="AA41" s="115" t="s">
        <v>12</v>
      </c>
      <c r="AB41" s="32"/>
    </row>
    <row r="42" spans="1:28" x14ac:dyDescent="0.25">
      <c r="A42" s="136">
        <v>0.11</v>
      </c>
      <c r="B42" s="121">
        <v>-1.29</v>
      </c>
      <c r="C42" s="136">
        <f xml:space="preserve"> B30</f>
        <v>-3.271169627815592E-2</v>
      </c>
      <c r="D42" s="136">
        <f>T43</f>
        <v>0.12443551191660115</v>
      </c>
      <c r="E42" s="121"/>
      <c r="F42" s="117" t="s">
        <v>12</v>
      </c>
      <c r="G42" s="117" t="s">
        <v>141</v>
      </c>
      <c r="H42" s="117" t="s">
        <v>147</v>
      </c>
      <c r="I42" s="42"/>
      <c r="J42" s="117" t="s">
        <v>12</v>
      </c>
      <c r="K42" s="117" t="s">
        <v>141</v>
      </c>
      <c r="L42" s="117" t="s">
        <v>147</v>
      </c>
      <c r="M42" s="117" t="s">
        <v>144</v>
      </c>
      <c r="N42" s="117" t="s">
        <v>147</v>
      </c>
      <c r="O42" s="117" t="s">
        <v>147</v>
      </c>
      <c r="P42" s="117" t="s">
        <v>147</v>
      </c>
      <c r="Q42" s="117" t="s">
        <v>141</v>
      </c>
      <c r="R42" s="117" t="s">
        <v>141</v>
      </c>
      <c r="S42" s="117" t="s">
        <v>12</v>
      </c>
      <c r="T42" s="117" t="s">
        <v>149</v>
      </c>
    </row>
    <row r="43" spans="1:28" x14ac:dyDescent="0.25">
      <c r="F43" s="118">
        <f>'Potencial energético'!$D$23</f>
        <v>271702273084</v>
      </c>
      <c r="G43" s="42">
        <v>89</v>
      </c>
      <c r="H43" s="118">
        <f>F43*G43</f>
        <v>24181502304476</v>
      </c>
      <c r="I43" s="110">
        <v>2030</v>
      </c>
      <c r="J43" s="118">
        <f>'Potencial energético'!D34</f>
        <v>285677140363.21271</v>
      </c>
      <c r="K43" s="42">
        <v>89</v>
      </c>
      <c r="L43" s="118">
        <f>J43*K43</f>
        <v>25425265492325.93</v>
      </c>
      <c r="M43" s="127">
        <v>0.05</v>
      </c>
      <c r="N43" s="118">
        <f>H43*M43</f>
        <v>1209075115223.8</v>
      </c>
      <c r="O43" s="118">
        <f>L43-H43</f>
        <v>1243763187849.9297</v>
      </c>
      <c r="P43" s="118">
        <f>O43+N43</f>
        <v>2452838303073.7295</v>
      </c>
      <c r="Q43" s="128">
        <v>20</v>
      </c>
      <c r="R43" s="42">
        <f>K43-Q43</f>
        <v>69</v>
      </c>
      <c r="S43" s="118">
        <f>P43/R43</f>
        <v>35548381203.967094</v>
      </c>
      <c r="T43" s="119">
        <f>S43/J43</f>
        <v>0.12443551191660115</v>
      </c>
    </row>
    <row r="44" spans="1:28" x14ac:dyDescent="0.25">
      <c r="F44" s="118">
        <f>'Potencial energético'!$D$23</f>
        <v>271702273084</v>
      </c>
      <c r="G44" s="42">
        <v>89</v>
      </c>
      <c r="H44" s="42">
        <f t="shared" ref="H44:H45" si="12">F44*G44</f>
        <v>24181502304476</v>
      </c>
      <c r="I44" s="110">
        <v>2040</v>
      </c>
      <c r="J44" s="118">
        <f>'Potencial energético'!D44</f>
        <v>320711001789.5235</v>
      </c>
      <c r="K44" s="42">
        <v>89</v>
      </c>
      <c r="L44" s="118">
        <f t="shared" ref="L44:L45" si="13">J44*K44</f>
        <v>28543279159267.59</v>
      </c>
      <c r="M44" s="127">
        <v>0.2</v>
      </c>
      <c r="N44" s="118">
        <f>H44*M44</f>
        <v>4836300460895.2002</v>
      </c>
      <c r="O44" s="118">
        <f>L44-H44</f>
        <v>4361776854791.5898</v>
      </c>
      <c r="P44" s="118">
        <f>O44+N44</f>
        <v>9198077315686.7891</v>
      </c>
      <c r="Q44" s="128">
        <v>20</v>
      </c>
      <c r="R44" s="42">
        <f>K44-Q44</f>
        <v>69</v>
      </c>
      <c r="S44" s="118">
        <f>P44/R44</f>
        <v>133305468343.2868</v>
      </c>
      <c r="T44" s="119">
        <f>S44/J44</f>
        <v>0.41565605046119569</v>
      </c>
    </row>
    <row r="45" spans="1:28" ht="14.25" customHeight="1" x14ac:dyDescent="0.25">
      <c r="F45" s="118">
        <f>'Potencial energético'!$D$23</f>
        <v>271702273084</v>
      </c>
      <c r="G45" s="42">
        <v>89</v>
      </c>
      <c r="H45" s="42">
        <f t="shared" si="12"/>
        <v>24181502304476</v>
      </c>
      <c r="I45" s="110">
        <v>2050</v>
      </c>
      <c r="J45" s="118">
        <f>'Potencial energético'!D54</f>
        <v>360041221842.48999</v>
      </c>
      <c r="K45" s="42">
        <v>89</v>
      </c>
      <c r="L45" s="118">
        <f t="shared" si="13"/>
        <v>32043668743981.609</v>
      </c>
      <c r="M45" s="127">
        <v>0.3</v>
      </c>
      <c r="N45" s="118">
        <f>H45*M45</f>
        <v>7254450691342.7998</v>
      </c>
      <c r="O45" s="118">
        <f>L45-H45</f>
        <v>7862166439505.6094</v>
      </c>
      <c r="P45" s="118">
        <f>O45+N45</f>
        <v>15116617130848.41</v>
      </c>
      <c r="Q45" s="128">
        <v>20</v>
      </c>
      <c r="R45" s="42">
        <f>K45-Q45</f>
        <v>69</v>
      </c>
      <c r="S45" s="118">
        <f t="shared" ref="S45" si="14">P45/R45</f>
        <v>219081407693.45523</v>
      </c>
      <c r="T45" s="119">
        <f>S45/J45</f>
        <v>0.60848979061985986</v>
      </c>
    </row>
    <row r="47" spans="1:28" x14ac:dyDescent="0.25">
      <c r="F47" s="42">
        <v>2019</v>
      </c>
      <c r="J47" t="s">
        <v>142</v>
      </c>
      <c r="M47" t="s">
        <v>160</v>
      </c>
    </row>
    <row r="48" spans="1:28" ht="75" x14ac:dyDescent="0.25">
      <c r="A48" s="116" t="s">
        <v>165</v>
      </c>
      <c r="B48" s="134" t="s">
        <v>124</v>
      </c>
      <c r="C48" s="135" t="s">
        <v>137</v>
      </c>
      <c r="D48" s="139" t="s">
        <v>164</v>
      </c>
      <c r="E48" s="130" t="s">
        <v>163</v>
      </c>
      <c r="F48" s="116" t="s">
        <v>150</v>
      </c>
      <c r="G48" s="116" t="s">
        <v>156</v>
      </c>
      <c r="H48" s="116" t="s">
        <v>152</v>
      </c>
      <c r="I48" s="116" t="s">
        <v>153</v>
      </c>
      <c r="J48" s="116" t="s">
        <v>151</v>
      </c>
      <c r="K48" s="116" t="s">
        <v>156</v>
      </c>
      <c r="L48" s="116" t="s">
        <v>155</v>
      </c>
      <c r="M48" s="116" t="s">
        <v>154</v>
      </c>
      <c r="N48" s="116" t="s">
        <v>157</v>
      </c>
      <c r="O48" s="116" t="s">
        <v>159</v>
      </c>
      <c r="P48" s="116" t="s">
        <v>158</v>
      </c>
      <c r="Q48" s="116" t="s">
        <v>143</v>
      </c>
      <c r="R48" s="116" t="s">
        <v>145</v>
      </c>
      <c r="S48" s="116" t="s">
        <v>146</v>
      </c>
      <c r="T48" s="116" t="s">
        <v>148</v>
      </c>
    </row>
    <row r="49" spans="1:22" x14ac:dyDescent="0.25">
      <c r="A49" s="132">
        <f>T43</f>
        <v>0.12443551191660115</v>
      </c>
      <c r="B49">
        <v>-1.29</v>
      </c>
      <c r="C49" s="132">
        <f>C30</f>
        <v>-3.7004515200297357E-2</v>
      </c>
      <c r="D49" s="136">
        <f>T50</f>
        <v>7.9652554443065932E-2</v>
      </c>
      <c r="F49" s="117" t="s">
        <v>12</v>
      </c>
      <c r="G49" s="117" t="s">
        <v>141</v>
      </c>
      <c r="H49" s="117" t="s">
        <v>147</v>
      </c>
      <c r="I49" s="42"/>
      <c r="J49" s="117" t="s">
        <v>12</v>
      </c>
      <c r="K49" s="117" t="s">
        <v>141</v>
      </c>
      <c r="L49" s="117" t="s">
        <v>147</v>
      </c>
      <c r="M49" s="117" t="s">
        <v>144</v>
      </c>
      <c r="N49" s="117" t="s">
        <v>147</v>
      </c>
      <c r="O49" s="117" t="s">
        <v>147</v>
      </c>
      <c r="P49" s="117" t="s">
        <v>147</v>
      </c>
      <c r="Q49" s="117" t="s">
        <v>141</v>
      </c>
      <c r="R49" s="117" t="s">
        <v>141</v>
      </c>
      <c r="S49" s="117" t="s">
        <v>12</v>
      </c>
      <c r="T49" s="117" t="s">
        <v>149</v>
      </c>
    </row>
    <row r="50" spans="1:22" x14ac:dyDescent="0.25">
      <c r="F50" s="118">
        <f>'Potencial energético'!$D$23</f>
        <v>271702273084</v>
      </c>
      <c r="G50" s="42">
        <v>89</v>
      </c>
      <c r="H50" s="118">
        <f>F50*G50</f>
        <v>24181502304476</v>
      </c>
      <c r="I50" s="110">
        <v>2030</v>
      </c>
      <c r="J50" s="118">
        <f>J43*(100%+$C$30)</f>
        <v>275105796280.26471</v>
      </c>
      <c r="K50" s="42">
        <v>89</v>
      </c>
      <c r="L50" s="118">
        <f>J50*K50</f>
        <v>24484415868943.559</v>
      </c>
      <c r="M50" s="127">
        <v>0.05</v>
      </c>
      <c r="N50" s="118">
        <f>H50*M50</f>
        <v>1209075115223.8</v>
      </c>
      <c r="O50" s="118">
        <f>L50-H50</f>
        <v>302913564467.55859</v>
      </c>
      <c r="P50" s="118">
        <f>O50+N50</f>
        <v>1511988679691.3586</v>
      </c>
      <c r="Q50" s="128">
        <v>20</v>
      </c>
      <c r="R50" s="42">
        <f>K50-Q50</f>
        <v>69</v>
      </c>
      <c r="S50" s="118">
        <f>P50/R50</f>
        <v>21912879415.816792</v>
      </c>
      <c r="T50" s="119">
        <f>S50/J50</f>
        <v>7.9652554443065932E-2</v>
      </c>
    </row>
    <row r="51" spans="1:22" x14ac:dyDescent="0.25">
      <c r="F51" s="118">
        <f>F50</f>
        <v>271702273084</v>
      </c>
      <c r="G51" s="42">
        <v>89</v>
      </c>
      <c r="H51" s="42">
        <f t="shared" ref="H51:H52" si="15">F51*G51</f>
        <v>24181502304476</v>
      </c>
      <c r="I51" s="110">
        <v>2040</v>
      </c>
      <c r="J51" s="118">
        <f>J44*(100%+$C$30)</f>
        <v>308843246648.90051</v>
      </c>
      <c r="K51" s="42">
        <v>89</v>
      </c>
      <c r="L51" s="118">
        <f>J51*K51</f>
        <v>27487048951752.145</v>
      </c>
      <c r="M51" s="127">
        <v>0.2</v>
      </c>
      <c r="N51" s="118">
        <f>H51*M51</f>
        <v>4836300460895.2002</v>
      </c>
      <c r="O51" s="118">
        <f>L51-H51</f>
        <v>3305546647276.1445</v>
      </c>
      <c r="P51" s="118">
        <f>O51+N51</f>
        <v>8141847108171.3447</v>
      </c>
      <c r="Q51" s="128">
        <v>20</v>
      </c>
      <c r="R51" s="42">
        <f>K51-Q51</f>
        <v>69</v>
      </c>
      <c r="S51" s="118">
        <f>P51/R51</f>
        <v>117997784176.3963</v>
      </c>
      <c r="T51" s="119">
        <f>S51/J51</f>
        <v>0.38206366969888339</v>
      </c>
    </row>
    <row r="52" spans="1:22" x14ac:dyDescent="0.25">
      <c r="F52" s="118">
        <f>F51</f>
        <v>271702273084</v>
      </c>
      <c r="G52" s="42">
        <v>89</v>
      </c>
      <c r="H52" s="42">
        <f t="shared" si="15"/>
        <v>24181502304476</v>
      </c>
      <c r="I52" s="110">
        <v>2050</v>
      </c>
      <c r="J52" s="118">
        <f>J45*(100%+$C$30)</f>
        <v>346718070976.08594</v>
      </c>
      <c r="K52" s="42">
        <v>89</v>
      </c>
      <c r="L52" s="118">
        <f>J52*K52</f>
        <v>30857908316871.648</v>
      </c>
      <c r="M52" s="127">
        <v>0.3</v>
      </c>
      <c r="N52" s="118">
        <f>H52*M52</f>
        <v>7254450691342.7998</v>
      </c>
      <c r="O52" s="118">
        <f>L52-H52</f>
        <v>6676406012395.6484</v>
      </c>
      <c r="P52" s="118">
        <f>O52+N52</f>
        <v>13930856703738.449</v>
      </c>
      <c r="Q52" s="128">
        <v>20</v>
      </c>
      <c r="R52" s="42">
        <f>K52-Q52</f>
        <v>69</v>
      </c>
      <c r="S52" s="118">
        <f t="shared" ref="S52" si="16">P52/R52</f>
        <v>201896473967.22391</v>
      </c>
      <c r="T52" s="119">
        <f>S52/J52</f>
        <v>0.58230732940697871</v>
      </c>
    </row>
    <row r="53" spans="1:22" x14ac:dyDescent="0.25">
      <c r="J53" s="32"/>
      <c r="K53" s="32"/>
      <c r="L53" s="32"/>
      <c r="M53" s="32"/>
      <c r="N53" s="32"/>
      <c r="O53" s="32"/>
      <c r="R53" s="32"/>
    </row>
    <row r="54" spans="1:22" x14ac:dyDescent="0.25">
      <c r="F54" s="42">
        <v>2019</v>
      </c>
      <c r="J54" t="s">
        <v>142</v>
      </c>
      <c r="M54" t="s">
        <v>160</v>
      </c>
    </row>
    <row r="55" spans="1:22" ht="75" x14ac:dyDescent="0.25">
      <c r="A55" s="116" t="s">
        <v>165</v>
      </c>
      <c r="B55" s="134" t="s">
        <v>124</v>
      </c>
      <c r="C55" s="135" t="s">
        <v>137</v>
      </c>
      <c r="D55" s="139" t="s">
        <v>164</v>
      </c>
      <c r="E55" s="130" t="s">
        <v>168</v>
      </c>
      <c r="F55" s="116" t="s">
        <v>150</v>
      </c>
      <c r="G55" s="116" t="s">
        <v>156</v>
      </c>
      <c r="H55" s="116" t="s">
        <v>152</v>
      </c>
      <c r="I55" s="116" t="s">
        <v>153</v>
      </c>
      <c r="J55" s="116" t="s">
        <v>151</v>
      </c>
      <c r="K55" s="116" t="s">
        <v>156</v>
      </c>
      <c r="L55" s="116" t="s">
        <v>155</v>
      </c>
      <c r="M55" s="116" t="s">
        <v>154</v>
      </c>
      <c r="N55" s="116" t="s">
        <v>157</v>
      </c>
      <c r="O55" s="116" t="s">
        <v>159</v>
      </c>
      <c r="P55" s="116" t="s">
        <v>158</v>
      </c>
      <c r="Q55" s="116" t="s">
        <v>143</v>
      </c>
      <c r="R55" s="116" t="s">
        <v>145</v>
      </c>
      <c r="S55" s="116" t="s">
        <v>146</v>
      </c>
      <c r="T55" s="116" t="s">
        <v>148</v>
      </c>
    </row>
    <row r="56" spans="1:22" x14ac:dyDescent="0.25">
      <c r="A56" s="132">
        <f>D49</f>
        <v>7.9652554443065932E-2</v>
      </c>
      <c r="B56">
        <v>-1.29</v>
      </c>
      <c r="C56" s="132">
        <f xml:space="preserve"> D30</f>
        <v>-2.3687001533825927E-2</v>
      </c>
      <c r="D56" s="132">
        <f>T57</f>
        <v>5.0290998317487366E-2</v>
      </c>
      <c r="F56" s="117" t="s">
        <v>12</v>
      </c>
      <c r="G56" s="117" t="s">
        <v>141</v>
      </c>
      <c r="H56" s="117" t="s">
        <v>147</v>
      </c>
      <c r="I56" s="42"/>
      <c r="J56" s="117" t="s">
        <v>12</v>
      </c>
      <c r="K56" s="117" t="s">
        <v>141</v>
      </c>
      <c r="L56" s="117" t="s">
        <v>147</v>
      </c>
      <c r="M56" s="117" t="s">
        <v>144</v>
      </c>
      <c r="N56" s="117" t="s">
        <v>147</v>
      </c>
      <c r="O56" s="117" t="s">
        <v>147</v>
      </c>
      <c r="P56" s="117" t="s">
        <v>147</v>
      </c>
      <c r="Q56" s="117" t="s">
        <v>141</v>
      </c>
      <c r="R56" s="117" t="s">
        <v>141</v>
      </c>
      <c r="S56" s="117" t="s">
        <v>12</v>
      </c>
      <c r="T56" s="117" t="s">
        <v>149</v>
      </c>
    </row>
    <row r="57" spans="1:22" x14ac:dyDescent="0.25">
      <c r="F57" s="118">
        <f>'Potencial energético'!$D$23</f>
        <v>271702273084</v>
      </c>
      <c r="G57" s="42">
        <v>89</v>
      </c>
      <c r="H57" s="118">
        <f>F57*G57</f>
        <v>24181502304476</v>
      </c>
      <c r="I57" s="110">
        <v>2030</v>
      </c>
      <c r="J57" s="118">
        <f>J50*(100%+$D$30)</f>
        <v>268589364861.80966</v>
      </c>
      <c r="K57" s="42">
        <v>89</v>
      </c>
      <c r="L57" s="118">
        <f>J57*K57</f>
        <v>23904453472701.059</v>
      </c>
      <c r="M57" s="127">
        <v>0.05</v>
      </c>
      <c r="N57" s="118">
        <f>H57*M57</f>
        <v>1209075115223.8</v>
      </c>
      <c r="O57" s="118">
        <f>L57-H57</f>
        <v>-277048831774.94141</v>
      </c>
      <c r="P57" s="118">
        <f>O57+N57</f>
        <v>932026283448.85864</v>
      </c>
      <c r="Q57" s="128">
        <v>20</v>
      </c>
      <c r="R57" s="42">
        <f>K57-Q57</f>
        <v>69</v>
      </c>
      <c r="S57" s="118">
        <f>P57/R57</f>
        <v>13507627296.36027</v>
      </c>
      <c r="T57" s="119">
        <f>S57/J57</f>
        <v>5.0290998317487366E-2</v>
      </c>
    </row>
    <row r="58" spans="1:22" x14ac:dyDescent="0.25">
      <c r="F58" s="118">
        <f>F57</f>
        <v>271702273084</v>
      </c>
      <c r="G58" s="42">
        <v>89</v>
      </c>
      <c r="H58" s="42">
        <f t="shared" ref="H58:H59" si="17">F58*G58</f>
        <v>24181502304476</v>
      </c>
      <c r="I58" s="110">
        <v>2040</v>
      </c>
      <c r="J58" s="118">
        <f>J51*(100%+$D$30)</f>
        <v>301527676191.81622</v>
      </c>
      <c r="K58" s="42">
        <v>89</v>
      </c>
      <c r="L58" s="118">
        <f>J58*K58</f>
        <v>26835963181071.645</v>
      </c>
      <c r="M58" s="127">
        <v>0.2</v>
      </c>
      <c r="N58" s="118">
        <f>H58*M58</f>
        <v>4836300460895.2002</v>
      </c>
      <c r="O58" s="118">
        <f>L58-H58</f>
        <v>2654460876595.6445</v>
      </c>
      <c r="P58" s="118">
        <f>O58+N58</f>
        <v>7490761337490.8447</v>
      </c>
      <c r="Q58" s="128">
        <v>20</v>
      </c>
      <c r="R58" s="42">
        <f>K58-Q58</f>
        <v>69</v>
      </c>
      <c r="S58" s="118">
        <f>P58/R58</f>
        <v>108561758514.36006</v>
      </c>
      <c r="T58" s="119">
        <f>S58/J58</f>
        <v>0.36003911775348513</v>
      </c>
    </row>
    <row r="59" spans="1:22" x14ac:dyDescent="0.25">
      <c r="F59" s="118">
        <f>F58</f>
        <v>271702273084</v>
      </c>
      <c r="G59" s="42">
        <v>89</v>
      </c>
      <c r="H59" s="42">
        <f t="shared" si="17"/>
        <v>24181502304476</v>
      </c>
      <c r="I59" s="110">
        <v>2050</v>
      </c>
      <c r="J59" s="118">
        <f>J52*(100%+$D$30)</f>
        <v>338505359497.07019</v>
      </c>
      <c r="K59" s="42">
        <v>89</v>
      </c>
      <c r="L59" s="118">
        <f>J59*K59</f>
        <v>30126976995239.246</v>
      </c>
      <c r="M59" s="127">
        <v>0.3</v>
      </c>
      <c r="N59" s="118">
        <f>H59*M59</f>
        <v>7254450691342.7998</v>
      </c>
      <c r="O59" s="118">
        <f>L59-H59</f>
        <v>5945474690763.2461</v>
      </c>
      <c r="P59" s="118">
        <f>O59+N59</f>
        <v>13199925382106.047</v>
      </c>
      <c r="Q59" s="128">
        <v>20</v>
      </c>
      <c r="R59" s="42">
        <f>K59-Q59</f>
        <v>69</v>
      </c>
      <c r="S59" s="118">
        <f t="shared" ref="S59" si="18">P59/R59</f>
        <v>191303266407.33401</v>
      </c>
      <c r="T59" s="119">
        <f>S59/J59</f>
        <v>0.56514102669322663</v>
      </c>
    </row>
    <row r="61" spans="1:22" x14ac:dyDescent="0.25">
      <c r="F61" s="42">
        <v>2019</v>
      </c>
      <c r="J61" t="s">
        <v>142</v>
      </c>
      <c r="M61" t="s">
        <v>160</v>
      </c>
      <c r="V61" t="s">
        <v>178</v>
      </c>
    </row>
    <row r="62" spans="1:22" ht="75" x14ac:dyDescent="0.25">
      <c r="A62" s="116" t="s">
        <v>165</v>
      </c>
      <c r="B62" s="134" t="s">
        <v>124</v>
      </c>
      <c r="C62" s="135" t="s">
        <v>137</v>
      </c>
      <c r="D62" s="139" t="s">
        <v>164</v>
      </c>
      <c r="E62" s="130" t="s">
        <v>163</v>
      </c>
      <c r="F62" s="116" t="s">
        <v>150</v>
      </c>
      <c r="G62" s="116" t="s">
        <v>156</v>
      </c>
      <c r="H62" s="116" t="s">
        <v>152</v>
      </c>
      <c r="I62" s="116" t="s">
        <v>153</v>
      </c>
      <c r="J62" s="116" t="s">
        <v>151</v>
      </c>
      <c r="K62" s="116" t="s">
        <v>156</v>
      </c>
      <c r="L62" s="116" t="s">
        <v>155</v>
      </c>
      <c r="M62" s="116" t="s">
        <v>154</v>
      </c>
      <c r="N62" s="116" t="s">
        <v>157</v>
      </c>
      <c r="O62" s="116" t="s">
        <v>159</v>
      </c>
      <c r="P62" s="116" t="s">
        <v>158</v>
      </c>
      <c r="Q62" s="116" t="s">
        <v>143</v>
      </c>
      <c r="R62" s="116" t="s">
        <v>145</v>
      </c>
      <c r="S62" s="116" t="s">
        <v>146</v>
      </c>
      <c r="T62" s="116" t="s">
        <v>148</v>
      </c>
    </row>
    <row r="63" spans="1:22" x14ac:dyDescent="0.25">
      <c r="A63" s="132">
        <f>D56</f>
        <v>5.0290998317487366E-2</v>
      </c>
      <c r="B63">
        <v>-1.29</v>
      </c>
      <c r="C63" s="132">
        <f xml:space="preserve"> E30</f>
        <v>-1.4955489658971793E-2</v>
      </c>
      <c r="D63" s="132">
        <f>T64</f>
        <v>3.1471252105095909E-2</v>
      </c>
      <c r="F63" s="117" t="s">
        <v>12</v>
      </c>
      <c r="G63" s="117" t="s">
        <v>141</v>
      </c>
      <c r="H63" s="117" t="s">
        <v>147</v>
      </c>
      <c r="I63" s="42"/>
      <c r="J63" s="117" t="s">
        <v>12</v>
      </c>
      <c r="K63" s="117" t="s">
        <v>141</v>
      </c>
      <c r="L63" s="117" t="s">
        <v>147</v>
      </c>
      <c r="M63" s="117" t="s">
        <v>144</v>
      </c>
      <c r="N63" s="117" t="s">
        <v>147</v>
      </c>
      <c r="O63" s="117" t="s">
        <v>147</v>
      </c>
      <c r="P63" s="117" t="s">
        <v>147</v>
      </c>
      <c r="Q63" s="117" t="s">
        <v>141</v>
      </c>
      <c r="R63" s="117" t="s">
        <v>141</v>
      </c>
      <c r="S63" s="117" t="s">
        <v>12</v>
      </c>
      <c r="T63" s="117" t="s">
        <v>149</v>
      </c>
    </row>
    <row r="64" spans="1:22" x14ac:dyDescent="0.25">
      <c r="F64" s="118">
        <f>'Potencial energético'!$D$23</f>
        <v>271702273084</v>
      </c>
      <c r="G64" s="42">
        <v>89</v>
      </c>
      <c r="H64" s="118">
        <f>F64*G64</f>
        <v>24181502304476</v>
      </c>
      <c r="I64" s="110">
        <v>2030</v>
      </c>
      <c r="J64" s="118">
        <f>J57*(100%+$E$30)</f>
        <v>264572479393.10907</v>
      </c>
      <c r="K64" s="42">
        <v>89</v>
      </c>
      <c r="L64" s="118">
        <f>J64*K64</f>
        <v>23546950665986.707</v>
      </c>
      <c r="M64" s="127">
        <v>0.05</v>
      </c>
      <c r="N64" s="118">
        <f>H64*M64</f>
        <v>1209075115223.8</v>
      </c>
      <c r="O64" s="118">
        <f>L64-H64</f>
        <v>-634551638489.29297</v>
      </c>
      <c r="P64" s="118">
        <f>O64+N64</f>
        <v>574523476734.50708</v>
      </c>
      <c r="Q64" s="128">
        <v>20</v>
      </c>
      <c r="R64" s="42">
        <f>K64-Q64</f>
        <v>69</v>
      </c>
      <c r="S64" s="118">
        <f>P64/R64</f>
        <v>8326427199.050827</v>
      </c>
      <c r="T64" s="119">
        <f>S64/J64</f>
        <v>3.1471252105095909E-2</v>
      </c>
    </row>
    <row r="65" spans="1:20" x14ac:dyDescent="0.25">
      <c r="F65" s="118">
        <f>F64</f>
        <v>271702273084</v>
      </c>
      <c r="G65" s="42">
        <v>89</v>
      </c>
      <c r="H65" s="42">
        <f t="shared" ref="H65:H66" si="19">F65*G65</f>
        <v>24181502304476</v>
      </c>
      <c r="I65" s="110">
        <v>2040</v>
      </c>
      <c r="J65" s="118">
        <f>J58*(100%+$E$30)</f>
        <v>297018182148.63574</v>
      </c>
      <c r="K65" s="42">
        <v>89</v>
      </c>
      <c r="L65" s="118">
        <f>J65*K65</f>
        <v>26434618211228.582</v>
      </c>
      <c r="M65" s="127">
        <v>0.2</v>
      </c>
      <c r="N65" s="118">
        <f>H65*M65</f>
        <v>4836300460895.2002</v>
      </c>
      <c r="O65" s="118">
        <f>L65-H65</f>
        <v>2253115906752.582</v>
      </c>
      <c r="P65" s="118">
        <f>O65+N65</f>
        <v>7089416367647.7822</v>
      </c>
      <c r="Q65" s="128">
        <v>20</v>
      </c>
      <c r="R65" s="42">
        <f>K65-Q65</f>
        <v>69</v>
      </c>
      <c r="S65" s="118">
        <f>P65/R65</f>
        <v>102745164748.51859</v>
      </c>
      <c r="T65" s="119">
        <f>S65/J65</f>
        <v>0.34592213852114345</v>
      </c>
    </row>
    <row r="66" spans="1:20" x14ac:dyDescent="0.25">
      <c r="F66" s="118">
        <f>F65</f>
        <v>271702273084</v>
      </c>
      <c r="G66" s="42">
        <v>89</v>
      </c>
      <c r="H66" s="42">
        <f t="shared" si="19"/>
        <v>24181502304476</v>
      </c>
      <c r="I66" s="110">
        <v>2050</v>
      </c>
      <c r="J66" s="118">
        <f>J59*(100%+$E$30)</f>
        <v>333442846093.60522</v>
      </c>
      <c r="K66" s="42">
        <v>89</v>
      </c>
      <c r="L66" s="118">
        <f>J66*K66</f>
        <v>29676413302330.863</v>
      </c>
      <c r="M66" s="127">
        <v>0.3</v>
      </c>
      <c r="N66" s="118">
        <f>H66*M66</f>
        <v>7254450691342.7998</v>
      </c>
      <c r="O66" s="118">
        <f>L66-H66</f>
        <v>5494910997854.8633</v>
      </c>
      <c r="P66" s="118">
        <f>O66+N66</f>
        <v>12749361689197.664</v>
      </c>
      <c r="Q66" s="128">
        <v>20</v>
      </c>
      <c r="R66" s="42">
        <f>K66-Q66</f>
        <v>69</v>
      </c>
      <c r="S66" s="118">
        <f t="shared" ref="S66" si="20">P66/R66</f>
        <v>184773357814.45889</v>
      </c>
      <c r="T66" s="119">
        <f>S66/J66</f>
        <v>0.55413801789164396</v>
      </c>
    </row>
    <row r="68" spans="1:20" x14ac:dyDescent="0.25">
      <c r="F68" s="42">
        <v>2019</v>
      </c>
      <c r="J68" t="s">
        <v>142</v>
      </c>
      <c r="M68" t="s">
        <v>160</v>
      </c>
    </row>
    <row r="69" spans="1:20" ht="75" x14ac:dyDescent="0.25">
      <c r="A69" s="116" t="s">
        <v>165</v>
      </c>
      <c r="B69" s="134" t="s">
        <v>124</v>
      </c>
      <c r="C69" s="135" t="s">
        <v>137</v>
      </c>
      <c r="D69" s="139" t="s">
        <v>164</v>
      </c>
      <c r="E69" s="130" t="s">
        <v>163</v>
      </c>
      <c r="F69" s="116" t="s">
        <v>150</v>
      </c>
      <c r="G69" s="116" t="s">
        <v>156</v>
      </c>
      <c r="H69" s="116" t="s">
        <v>152</v>
      </c>
      <c r="I69" s="116" t="s">
        <v>153</v>
      </c>
      <c r="J69" s="116" t="s">
        <v>151</v>
      </c>
      <c r="K69" s="116" t="s">
        <v>156</v>
      </c>
      <c r="L69" s="116" t="s">
        <v>155</v>
      </c>
      <c r="M69" s="116" t="s">
        <v>154</v>
      </c>
      <c r="N69" s="116" t="s">
        <v>157</v>
      </c>
      <c r="O69" s="116" t="s">
        <v>159</v>
      </c>
      <c r="P69" s="116" t="s">
        <v>158</v>
      </c>
      <c r="Q69" s="116" t="s">
        <v>143</v>
      </c>
      <c r="R69" s="116" t="s">
        <v>145</v>
      </c>
      <c r="S69" s="116" t="s">
        <v>146</v>
      </c>
      <c r="T69" s="116" t="s">
        <v>148</v>
      </c>
    </row>
    <row r="70" spans="1:20" x14ac:dyDescent="0.25">
      <c r="A70" s="132">
        <f>D63</f>
        <v>3.1471252105095909E-2</v>
      </c>
      <c r="B70">
        <v>-1.29</v>
      </c>
      <c r="C70" s="132">
        <f>F30</f>
        <v>-9.3588912759561133E-3</v>
      </c>
      <c r="D70" s="132">
        <f>T71</f>
        <v>1.9582913074497652E-2</v>
      </c>
      <c r="F70" s="117" t="s">
        <v>12</v>
      </c>
      <c r="G70" s="117" t="s">
        <v>141</v>
      </c>
      <c r="H70" s="117" t="s">
        <v>147</v>
      </c>
      <c r="I70" s="42"/>
      <c r="J70" s="117" t="s">
        <v>12</v>
      </c>
      <c r="K70" s="117" t="s">
        <v>141</v>
      </c>
      <c r="L70" s="117" t="s">
        <v>147</v>
      </c>
      <c r="M70" s="117" t="s">
        <v>144</v>
      </c>
      <c r="N70" s="117" t="s">
        <v>147</v>
      </c>
      <c r="O70" s="117" t="s">
        <v>147</v>
      </c>
      <c r="P70" s="117" t="s">
        <v>147</v>
      </c>
      <c r="Q70" s="117" t="s">
        <v>141</v>
      </c>
      <c r="R70" s="117" t="s">
        <v>141</v>
      </c>
      <c r="S70" s="117" t="s">
        <v>12</v>
      </c>
      <c r="T70" s="117" t="s">
        <v>149</v>
      </c>
    </row>
    <row r="71" spans="1:20" x14ac:dyDescent="0.25">
      <c r="F71" s="118">
        <f>'Potencial energético'!$D$23</f>
        <v>271702273084</v>
      </c>
      <c r="G71" s="42">
        <v>89</v>
      </c>
      <c r="H71" s="118">
        <f>F71*G71</f>
        <v>24181502304476</v>
      </c>
      <c r="I71" s="110">
        <v>2030</v>
      </c>
      <c r="J71" s="118">
        <f>J64*(100%+$F$30)</f>
        <v>262096374323.85883</v>
      </c>
      <c r="K71" s="42">
        <v>89</v>
      </c>
      <c r="L71" s="118">
        <f>J71*K71</f>
        <v>23326577314823.434</v>
      </c>
      <c r="M71" s="127">
        <v>0.05</v>
      </c>
      <c r="N71" s="118">
        <f>H71*M71</f>
        <v>1209075115223.8</v>
      </c>
      <c r="O71" s="118">
        <f>L71-H71</f>
        <v>-854924989652.56641</v>
      </c>
      <c r="P71" s="118">
        <f>O71+N71</f>
        <v>354150125571.23364</v>
      </c>
      <c r="Q71" s="128">
        <v>20</v>
      </c>
      <c r="R71" s="42">
        <f>K71-Q71</f>
        <v>69</v>
      </c>
      <c r="S71" s="118">
        <f>P71/R71</f>
        <v>5132610515.5251255</v>
      </c>
      <c r="T71" s="119">
        <f>S71/J71</f>
        <v>1.9582913074497652E-2</v>
      </c>
    </row>
    <row r="72" spans="1:20" x14ac:dyDescent="0.25">
      <c r="F72" s="118">
        <f>F71</f>
        <v>271702273084</v>
      </c>
      <c r="G72" s="42">
        <v>89</v>
      </c>
      <c r="H72" s="42">
        <f t="shared" ref="H72:H73" si="21">F72*G72</f>
        <v>24181502304476</v>
      </c>
      <c r="I72" s="110">
        <v>2040</v>
      </c>
      <c r="J72" s="118">
        <f>J65*(100%+$F$30)</f>
        <v>294238421274.9245</v>
      </c>
      <c r="K72" s="42">
        <v>89</v>
      </c>
      <c r="L72" s="118">
        <f>J72*K72</f>
        <v>26187219493468.281</v>
      </c>
      <c r="M72" s="127">
        <v>0.2</v>
      </c>
      <c r="N72" s="118">
        <f>H72*M72</f>
        <v>4836300460895.2002</v>
      </c>
      <c r="O72" s="118">
        <f>L72-H72</f>
        <v>2005717188992.2813</v>
      </c>
      <c r="P72" s="118">
        <f>O72+N72</f>
        <v>6842017649887.4814</v>
      </c>
      <c r="Q72" s="128">
        <v>20</v>
      </c>
      <c r="R72" s="42">
        <f>K72-Q72</f>
        <v>69</v>
      </c>
      <c r="S72" s="118">
        <f>P72/R72</f>
        <v>99159676085.325821</v>
      </c>
      <c r="T72" s="119">
        <f>S72/J72</f>
        <v>0.33700451373981177</v>
      </c>
    </row>
    <row r="73" spans="1:20" x14ac:dyDescent="0.25">
      <c r="F73" s="118">
        <f>F72</f>
        <v>271702273084</v>
      </c>
      <c r="G73" s="42">
        <v>89</v>
      </c>
      <c r="H73" s="42">
        <f t="shared" si="21"/>
        <v>24181502304476</v>
      </c>
      <c r="I73" s="110">
        <v>2050</v>
      </c>
      <c r="J73" s="118">
        <f>J66*(100%+$F$30)</f>
        <v>330322190750.26978</v>
      </c>
      <c r="K73" s="42">
        <v>89</v>
      </c>
      <c r="L73" s="118">
        <f>J73*K73</f>
        <v>29398674976774.012</v>
      </c>
      <c r="M73" s="127">
        <v>0.3</v>
      </c>
      <c r="N73" s="118">
        <f>H73*M73</f>
        <v>7254450691342.7998</v>
      </c>
      <c r="O73" s="118">
        <f>L73-H73</f>
        <v>5217172672298.0117</v>
      </c>
      <c r="P73" s="118">
        <f>O73+N73</f>
        <v>12471623363640.813</v>
      </c>
      <c r="Q73" s="128">
        <v>20</v>
      </c>
      <c r="R73" s="42">
        <f>K73-Q73</f>
        <v>69</v>
      </c>
      <c r="S73" s="118">
        <f t="shared" ref="S73" si="22">P73/R73</f>
        <v>180748164690.44656</v>
      </c>
      <c r="T73" s="119">
        <f>S73/J73</f>
        <v>0.54718747257006362</v>
      </c>
    </row>
    <row r="75" spans="1:20" x14ac:dyDescent="0.25">
      <c r="F75" s="42">
        <v>2019</v>
      </c>
      <c r="J75" t="s">
        <v>142</v>
      </c>
      <c r="M75" t="s">
        <v>160</v>
      </c>
    </row>
    <row r="76" spans="1:20" ht="75" x14ac:dyDescent="0.25">
      <c r="A76" s="116" t="s">
        <v>165</v>
      </c>
      <c r="B76" s="134" t="s">
        <v>124</v>
      </c>
      <c r="C76" s="135" t="s">
        <v>137</v>
      </c>
      <c r="D76" s="139" t="s">
        <v>164</v>
      </c>
      <c r="E76" s="130" t="s">
        <v>179</v>
      </c>
      <c r="F76" s="116" t="s">
        <v>150</v>
      </c>
      <c r="G76" s="116" t="s">
        <v>156</v>
      </c>
      <c r="H76" s="116" t="s">
        <v>152</v>
      </c>
      <c r="I76" s="116" t="s">
        <v>153</v>
      </c>
      <c r="J76" s="116" t="s">
        <v>151</v>
      </c>
      <c r="K76" s="116" t="s">
        <v>156</v>
      </c>
      <c r="L76" s="116" t="s">
        <v>155</v>
      </c>
      <c r="M76" s="116" t="s">
        <v>154</v>
      </c>
      <c r="N76" s="116" t="s">
        <v>157</v>
      </c>
      <c r="O76" s="116" t="s">
        <v>159</v>
      </c>
      <c r="P76" s="116" t="s">
        <v>158</v>
      </c>
      <c r="Q76" s="116" t="s">
        <v>143</v>
      </c>
      <c r="R76" s="116" t="s">
        <v>145</v>
      </c>
      <c r="S76" s="116" t="s">
        <v>146</v>
      </c>
      <c r="T76" s="116" t="s">
        <v>148</v>
      </c>
    </row>
    <row r="77" spans="1:20" x14ac:dyDescent="0.25">
      <c r="A77" s="132">
        <f>D70</f>
        <v>1.9582913074497652E-2</v>
      </c>
      <c r="B77">
        <v>-1.29</v>
      </c>
      <c r="C77" s="132">
        <f>G30</f>
        <v>-5.8235482248590528E-3</v>
      </c>
      <c r="D77" s="132">
        <f>T78</f>
        <v>1.2142089903026903E-2</v>
      </c>
      <c r="F77" s="117" t="s">
        <v>12</v>
      </c>
      <c r="G77" s="117" t="s">
        <v>141</v>
      </c>
      <c r="H77" s="117" t="s">
        <v>147</v>
      </c>
      <c r="I77" s="42"/>
      <c r="J77" s="117" t="s">
        <v>12</v>
      </c>
      <c r="K77" s="117" t="s">
        <v>141</v>
      </c>
      <c r="L77" s="117" t="s">
        <v>147</v>
      </c>
      <c r="M77" s="117" t="s">
        <v>144</v>
      </c>
      <c r="N77" s="117" t="s">
        <v>147</v>
      </c>
      <c r="O77" s="117" t="s">
        <v>147</v>
      </c>
      <c r="P77" s="117" t="s">
        <v>147</v>
      </c>
      <c r="Q77" s="117" t="s">
        <v>141</v>
      </c>
      <c r="R77" s="117" t="s">
        <v>141</v>
      </c>
      <c r="S77" s="117" t="s">
        <v>12</v>
      </c>
      <c r="T77" s="117" t="s">
        <v>149</v>
      </c>
    </row>
    <row r="78" spans="1:20" x14ac:dyDescent="0.25">
      <c r="F78" s="118">
        <f>'Potencial energético'!$D$23</f>
        <v>271702273084</v>
      </c>
      <c r="G78" s="42">
        <v>89</v>
      </c>
      <c r="H78" s="118">
        <f>F78*G78</f>
        <v>24181502304476</v>
      </c>
      <c r="I78" s="110">
        <v>2030</v>
      </c>
      <c r="J78" s="118">
        <f>J71*(100%+$G$30)</f>
        <v>260570043448.42313</v>
      </c>
      <c r="K78" s="42">
        <v>89</v>
      </c>
      <c r="L78" s="118">
        <f>J78*K78</f>
        <v>23190733866909.66</v>
      </c>
      <c r="M78" s="127">
        <v>0.05</v>
      </c>
      <c r="N78" s="118">
        <f>H78*M78</f>
        <v>1209075115223.8</v>
      </c>
      <c r="O78" s="118">
        <f>L78-H78</f>
        <v>-990768437566.33984</v>
      </c>
      <c r="P78" s="118">
        <f>O78+N78</f>
        <v>218306677657.46021</v>
      </c>
      <c r="Q78" s="128">
        <v>20</v>
      </c>
      <c r="R78" s="42">
        <f>K78-Q78</f>
        <v>69</v>
      </c>
      <c r="S78" s="118">
        <f>P78/R78</f>
        <v>3163864893.58638</v>
      </c>
      <c r="T78" s="119">
        <f>S78/J78</f>
        <v>1.2142089903026903E-2</v>
      </c>
    </row>
    <row r="79" spans="1:20" x14ac:dyDescent="0.25">
      <c r="F79" s="118">
        <f>F78</f>
        <v>271702273084</v>
      </c>
      <c r="G79" s="42">
        <v>89</v>
      </c>
      <c r="H79" s="42">
        <f t="shared" ref="H79:H80" si="23">F79*G79</f>
        <v>24181502304476</v>
      </c>
      <c r="I79" s="110">
        <v>2040</v>
      </c>
      <c r="J79" s="118">
        <f>J72*(100%+$G$30)</f>
        <v>292524909639.02356</v>
      </c>
      <c r="K79" s="42">
        <v>89</v>
      </c>
      <c r="L79" s="118">
        <f>J79*K79</f>
        <v>26034716957873.098</v>
      </c>
      <c r="M79" s="127">
        <v>0.2</v>
      </c>
      <c r="N79" s="118">
        <f>H79*M79</f>
        <v>4836300460895.2002</v>
      </c>
      <c r="O79" s="118">
        <f>L79-H79</f>
        <v>1853214653397.0977</v>
      </c>
      <c r="P79" s="118">
        <f>O79+N79</f>
        <v>6689515114292.2979</v>
      </c>
      <c r="Q79" s="128">
        <v>20</v>
      </c>
      <c r="R79" s="42">
        <f>K79-Q79</f>
        <v>69</v>
      </c>
      <c r="S79" s="118">
        <f>P79/R79</f>
        <v>96949494410.033295</v>
      </c>
      <c r="T79" s="119">
        <f>S79/J79</f>
        <v>0.33142303857018263</v>
      </c>
    </row>
    <row r="80" spans="1:20" x14ac:dyDescent="0.25">
      <c r="F80" s="118">
        <f>F79</f>
        <v>271702273084</v>
      </c>
      <c r="G80" s="42">
        <v>89</v>
      </c>
      <c r="H80" s="42">
        <f t="shared" si="23"/>
        <v>24181502304476</v>
      </c>
      <c r="I80" s="110">
        <v>2050</v>
      </c>
      <c r="J80" s="118">
        <f>J73*(100%+$G$30)</f>
        <v>328398543542.69446</v>
      </c>
      <c r="K80" s="42">
        <v>89</v>
      </c>
      <c r="L80" s="118">
        <f>J80*K80</f>
        <v>29227470375299.809</v>
      </c>
      <c r="M80" s="127">
        <v>0.3</v>
      </c>
      <c r="N80" s="118">
        <f>H80*M80</f>
        <v>7254450691342.7998</v>
      </c>
      <c r="O80" s="118">
        <f>L80-H80</f>
        <v>5045968070823.8086</v>
      </c>
      <c r="P80" s="118">
        <f>O80+N80</f>
        <v>12300418762166.609</v>
      </c>
      <c r="Q80" s="128">
        <v>20</v>
      </c>
      <c r="R80" s="42">
        <f>K80-Q80</f>
        <v>69</v>
      </c>
      <c r="S80" s="118">
        <f t="shared" ref="S80" si="24">P80/R80</f>
        <v>178266938582.12479</v>
      </c>
      <c r="T80" s="119">
        <f>S80/J80</f>
        <v>0.54283717783586527</v>
      </c>
    </row>
    <row r="82" spans="1:20" x14ac:dyDescent="0.25">
      <c r="F82" s="42">
        <v>2019</v>
      </c>
      <c r="J82" t="s">
        <v>142</v>
      </c>
      <c r="M82" t="s">
        <v>160</v>
      </c>
    </row>
    <row r="83" spans="1:20" ht="75" x14ac:dyDescent="0.25">
      <c r="A83" s="116" t="s">
        <v>165</v>
      </c>
      <c r="B83" s="134" t="s">
        <v>124</v>
      </c>
      <c r="C83" s="135" t="s">
        <v>137</v>
      </c>
      <c r="D83" s="139" t="s">
        <v>164</v>
      </c>
      <c r="E83" s="130" t="s">
        <v>180</v>
      </c>
      <c r="F83" s="116" t="s">
        <v>150</v>
      </c>
      <c r="G83" s="116" t="s">
        <v>156</v>
      </c>
      <c r="H83" s="116" t="s">
        <v>152</v>
      </c>
      <c r="I83" s="116" t="s">
        <v>153</v>
      </c>
      <c r="J83" s="116" t="s">
        <v>151</v>
      </c>
      <c r="K83" s="116" t="s">
        <v>156</v>
      </c>
      <c r="L83" s="116" t="s">
        <v>155</v>
      </c>
      <c r="M83" s="116" t="s">
        <v>154</v>
      </c>
      <c r="N83" s="116" t="s">
        <v>157</v>
      </c>
      <c r="O83" s="116" t="s">
        <v>159</v>
      </c>
      <c r="P83" s="116" t="s">
        <v>158</v>
      </c>
      <c r="Q83" s="116" t="s">
        <v>143</v>
      </c>
      <c r="R83" s="116" t="s">
        <v>145</v>
      </c>
      <c r="S83" s="116" t="s">
        <v>146</v>
      </c>
      <c r="T83" s="116" t="s">
        <v>148</v>
      </c>
    </row>
    <row r="84" spans="1:20" x14ac:dyDescent="0.25">
      <c r="A84" s="132">
        <f>D77</f>
        <v>1.2142089903026903E-2</v>
      </c>
      <c r="B84">
        <v>-1.29</v>
      </c>
      <c r="C84" s="132">
        <f>H30</f>
        <v>-3.6108032462716338E-3</v>
      </c>
      <c r="D84" s="132">
        <f>T85</f>
        <v>7.5118006543426425E-3</v>
      </c>
      <c r="F84" s="117" t="s">
        <v>12</v>
      </c>
      <c r="G84" s="117" t="s">
        <v>141</v>
      </c>
      <c r="H84" s="117" t="s">
        <v>147</v>
      </c>
      <c r="I84" s="42"/>
      <c r="J84" s="117" t="s">
        <v>12</v>
      </c>
      <c r="K84" s="117" t="s">
        <v>141</v>
      </c>
      <c r="L84" s="117" t="s">
        <v>147</v>
      </c>
      <c r="M84" s="117" t="s">
        <v>144</v>
      </c>
      <c r="N84" s="117" t="s">
        <v>147</v>
      </c>
      <c r="O84" s="117" t="s">
        <v>147</v>
      </c>
      <c r="P84" s="117" t="s">
        <v>147</v>
      </c>
      <c r="Q84" s="117" t="s">
        <v>141</v>
      </c>
      <c r="R84" s="117" t="s">
        <v>141</v>
      </c>
      <c r="S84" s="117" t="s">
        <v>12</v>
      </c>
      <c r="T84" s="117" t="s">
        <v>149</v>
      </c>
    </row>
    <row r="85" spans="1:20" x14ac:dyDescent="0.25">
      <c r="F85" s="118">
        <f>'Potencial energético'!$D$23</f>
        <v>271702273084</v>
      </c>
      <c r="G85" s="42">
        <v>89</v>
      </c>
      <c r="H85" s="118">
        <f>F85*G85</f>
        <v>24181502304476</v>
      </c>
      <c r="I85" s="110">
        <v>2030</v>
      </c>
      <c r="J85" s="118">
        <f>J78*(100%+$H$30)</f>
        <v>259629176289.65842</v>
      </c>
      <c r="K85" s="42">
        <v>89</v>
      </c>
      <c r="L85" s="118">
        <f>J85*K85</f>
        <v>23106996689779.598</v>
      </c>
      <c r="M85" s="127">
        <v>0.05</v>
      </c>
      <c r="N85" s="118">
        <f>H85*M85</f>
        <v>1209075115223.8</v>
      </c>
      <c r="O85" s="118">
        <f>L85-H85</f>
        <v>-1074505614696.4023</v>
      </c>
      <c r="P85" s="118">
        <f>O85+N85</f>
        <v>134569500527.39771</v>
      </c>
      <c r="Q85" s="128">
        <v>20</v>
      </c>
      <c r="R85" s="42">
        <f>K85-Q85</f>
        <v>69</v>
      </c>
      <c r="S85" s="118">
        <f>P85/R85</f>
        <v>1950282616.3390973</v>
      </c>
      <c r="T85" s="119">
        <f>S85/J85</f>
        <v>7.5118006543426425E-3</v>
      </c>
    </row>
    <row r="86" spans="1:20" x14ac:dyDescent="0.25">
      <c r="F86" s="118">
        <f>F85</f>
        <v>271702273084</v>
      </c>
      <c r="G86" s="42">
        <v>89</v>
      </c>
      <c r="H86" s="42">
        <f t="shared" ref="H86:H87" si="25">F86*G86</f>
        <v>24181502304476</v>
      </c>
      <c r="I86" s="110">
        <v>2040</v>
      </c>
      <c r="J86" s="118">
        <f>J79*(100%+$H$30)</f>
        <v>291468659745.68365</v>
      </c>
      <c r="K86" s="42">
        <v>89</v>
      </c>
      <c r="L86" s="118">
        <f>J86*K86</f>
        <v>25940710717365.844</v>
      </c>
      <c r="M86" s="127">
        <v>0.2</v>
      </c>
      <c r="N86" s="118">
        <f>H86*M86</f>
        <v>4836300460895.2002</v>
      </c>
      <c r="O86" s="118">
        <f>L86-H86</f>
        <v>1759208412889.8438</v>
      </c>
      <c r="P86" s="118">
        <f>O86+N86</f>
        <v>6595508873785.0439</v>
      </c>
      <c r="Q86" s="128">
        <v>20</v>
      </c>
      <c r="R86" s="42">
        <f>K86-Q86</f>
        <v>69</v>
      </c>
      <c r="S86" s="118">
        <f>P86/R86</f>
        <v>95587085127.319473</v>
      </c>
      <c r="T86" s="119">
        <f>S86/J86</f>
        <v>0.32794978784587842</v>
      </c>
    </row>
    <row r="87" spans="1:20" x14ac:dyDescent="0.25">
      <c r="F87" s="118">
        <f>F86</f>
        <v>271702273084</v>
      </c>
      <c r="G87" s="42">
        <v>89</v>
      </c>
      <c r="H87" s="42">
        <f t="shared" si="25"/>
        <v>24181502304476</v>
      </c>
      <c r="I87" s="110">
        <v>2050</v>
      </c>
      <c r="J87" s="118">
        <f>J80*(100%+$H$30)</f>
        <v>327212761015.59961</v>
      </c>
      <c r="K87" s="42">
        <v>89</v>
      </c>
      <c r="L87" s="118">
        <f>J87*K87</f>
        <v>29121935730388.367</v>
      </c>
      <c r="M87" s="127">
        <v>0.3</v>
      </c>
      <c r="N87" s="118">
        <f>H87*M87</f>
        <v>7254450691342.7998</v>
      </c>
      <c r="O87" s="118">
        <f>L87-H87</f>
        <v>4940433425912.3672</v>
      </c>
      <c r="P87" s="118">
        <f>O87+N87</f>
        <v>12194884117255.168</v>
      </c>
      <c r="Q87" s="128">
        <v>20</v>
      </c>
      <c r="R87" s="42">
        <f>K87-Q87</f>
        <v>69</v>
      </c>
      <c r="S87" s="118">
        <f t="shared" ref="S87" si="26">P87/R87</f>
        <v>176737450974.71259</v>
      </c>
      <c r="T87" s="119">
        <f>S87/J87</f>
        <v>0.54013006835722632</v>
      </c>
    </row>
    <row r="89" spans="1:20" x14ac:dyDescent="0.25">
      <c r="F89" s="42">
        <v>2019</v>
      </c>
      <c r="J89" t="s">
        <v>142</v>
      </c>
      <c r="M89" t="s">
        <v>160</v>
      </c>
    </row>
    <row r="90" spans="1:20" ht="75" x14ac:dyDescent="0.25">
      <c r="A90" s="116" t="s">
        <v>165</v>
      </c>
      <c r="B90" s="134" t="s">
        <v>124</v>
      </c>
      <c r="C90" s="135" t="s">
        <v>137</v>
      </c>
      <c r="D90" s="139" t="s">
        <v>164</v>
      </c>
      <c r="E90" s="130" t="s">
        <v>181</v>
      </c>
      <c r="F90" s="116" t="s">
        <v>150</v>
      </c>
      <c r="G90" s="116" t="s">
        <v>156</v>
      </c>
      <c r="H90" s="116" t="s">
        <v>152</v>
      </c>
      <c r="I90" s="116" t="s">
        <v>153</v>
      </c>
      <c r="J90" s="116" t="s">
        <v>151</v>
      </c>
      <c r="K90" s="116" t="s">
        <v>156</v>
      </c>
      <c r="L90" s="116" t="s">
        <v>155</v>
      </c>
      <c r="M90" s="116" t="s">
        <v>154</v>
      </c>
      <c r="N90" s="116" t="s">
        <v>157</v>
      </c>
      <c r="O90" s="116" t="s">
        <v>159</v>
      </c>
      <c r="P90" s="116" t="s">
        <v>158</v>
      </c>
      <c r="Q90" s="116" t="s">
        <v>143</v>
      </c>
      <c r="R90" s="116" t="s">
        <v>145</v>
      </c>
      <c r="S90" s="116" t="s">
        <v>146</v>
      </c>
      <c r="T90" s="116" t="s">
        <v>148</v>
      </c>
    </row>
    <row r="91" spans="1:20" x14ac:dyDescent="0.25">
      <c r="A91" s="132">
        <f>D84</f>
        <v>7.5118006543426425E-3</v>
      </c>
      <c r="B91">
        <v>-1.29</v>
      </c>
      <c r="C91" s="132">
        <f>I30</f>
        <v>-2.2338521955173585E-3</v>
      </c>
      <c r="D91" s="132">
        <f>T92</f>
        <v>4.6408219791876353E-3</v>
      </c>
      <c r="F91" s="117" t="s">
        <v>12</v>
      </c>
      <c r="G91" s="117" t="s">
        <v>141</v>
      </c>
      <c r="H91" s="117" t="s">
        <v>147</v>
      </c>
      <c r="I91" s="42"/>
      <c r="J91" s="117" t="s">
        <v>12</v>
      </c>
      <c r="K91" s="117" t="s">
        <v>141</v>
      </c>
      <c r="L91" s="117" t="s">
        <v>147</v>
      </c>
      <c r="M91" s="117" t="s">
        <v>144</v>
      </c>
      <c r="N91" s="117" t="s">
        <v>147</v>
      </c>
      <c r="O91" s="117" t="s">
        <v>147</v>
      </c>
      <c r="P91" s="117" t="s">
        <v>147</v>
      </c>
      <c r="Q91" s="117" t="s">
        <v>141</v>
      </c>
      <c r="R91" s="117" t="s">
        <v>141</v>
      </c>
      <c r="S91" s="117" t="s">
        <v>12</v>
      </c>
      <c r="T91" s="117" t="s">
        <v>149</v>
      </c>
    </row>
    <row r="92" spans="1:20" x14ac:dyDescent="0.25">
      <c r="F92" s="118">
        <f>'Potencial energético'!$D$23</f>
        <v>271702273084</v>
      </c>
      <c r="G92" s="42">
        <v>89</v>
      </c>
      <c r="H92" s="118">
        <f>F92*G92</f>
        <v>24181502304476</v>
      </c>
      <c r="I92" s="110">
        <v>2030</v>
      </c>
      <c r="J92" s="118">
        <f>J85*(100%+$I$30)</f>
        <v>259049203084.18341</v>
      </c>
      <c r="K92" s="42">
        <v>89</v>
      </c>
      <c r="L92" s="118">
        <f>J92*K92</f>
        <v>23055379074492.324</v>
      </c>
      <c r="M92" s="127">
        <v>0.05</v>
      </c>
      <c r="N92" s="118">
        <f>H92*M92</f>
        <v>1209075115223.8</v>
      </c>
      <c r="O92" s="118">
        <f>L92-H92</f>
        <v>-1126123229983.6758</v>
      </c>
      <c r="P92" s="118">
        <f>O92+N92</f>
        <v>82951885240.124268</v>
      </c>
      <c r="Q92" s="128">
        <v>20</v>
      </c>
      <c r="R92" s="42">
        <f>K92-Q92</f>
        <v>69</v>
      </c>
      <c r="S92" s="118">
        <f>P92/R92</f>
        <v>1202201235.3641198</v>
      </c>
      <c r="T92" s="119">
        <f>S92/J92</f>
        <v>4.6408219791876353E-3</v>
      </c>
    </row>
    <row r="93" spans="1:20" x14ac:dyDescent="0.25">
      <c r="F93" s="118">
        <f>F92</f>
        <v>271702273084</v>
      </c>
      <c r="G93" s="42">
        <v>89</v>
      </c>
      <c r="H93" s="42">
        <f t="shared" ref="H93:H94" si="27">F93*G93</f>
        <v>24181502304476</v>
      </c>
      <c r="I93" s="110">
        <v>2040</v>
      </c>
      <c r="J93" s="118">
        <f>J86*(100%+$I$30)</f>
        <v>290817561840.18628</v>
      </c>
      <c r="K93" s="42">
        <v>89</v>
      </c>
      <c r="L93" s="118">
        <f>J93*K93</f>
        <v>25882763003776.578</v>
      </c>
      <c r="M93" s="127">
        <v>0.2</v>
      </c>
      <c r="N93" s="118">
        <f>H93*M93</f>
        <v>4836300460895.2002</v>
      </c>
      <c r="O93" s="118">
        <f>L93-H93</f>
        <v>1701260699300.5781</v>
      </c>
      <c r="P93" s="118">
        <f>O93+N93</f>
        <v>6537561160195.7783</v>
      </c>
      <c r="Q93" s="128">
        <v>20</v>
      </c>
      <c r="R93" s="42">
        <f>K93-Q93</f>
        <v>69</v>
      </c>
      <c r="S93" s="118">
        <f>P93/R93</f>
        <v>94747263191.243164</v>
      </c>
      <c r="T93" s="119">
        <f>S93/J93</f>
        <v>0.32579622286810134</v>
      </c>
    </row>
    <row r="94" spans="1:20" x14ac:dyDescent="0.25">
      <c r="F94" s="118">
        <f>F93</f>
        <v>271702273084</v>
      </c>
      <c r="G94" s="42">
        <v>89</v>
      </c>
      <c r="H94" s="42">
        <f t="shared" si="27"/>
        <v>24181502304476</v>
      </c>
      <c r="I94" s="110">
        <v>2050</v>
      </c>
      <c r="J94" s="118">
        <f>J87*(100%+$I$30)</f>
        <v>326481816071.00366</v>
      </c>
      <c r="K94" s="42">
        <v>89</v>
      </c>
      <c r="L94" s="118">
        <f>J94*K94</f>
        <v>29056881630319.324</v>
      </c>
      <c r="M94" s="127">
        <v>0.3</v>
      </c>
      <c r="N94" s="118">
        <f>H94*M94</f>
        <v>7254450691342.7998</v>
      </c>
      <c r="O94" s="118">
        <f>L94-H94</f>
        <v>4875379325843.3242</v>
      </c>
      <c r="P94" s="118">
        <f>O94+N94</f>
        <v>12129830017186.125</v>
      </c>
      <c r="Q94" s="128">
        <v>20</v>
      </c>
      <c r="R94" s="42">
        <f>K94-Q94</f>
        <v>69</v>
      </c>
      <c r="S94" s="118">
        <f t="shared" ref="S94" si="28">P94/R94</f>
        <v>175794637930.2337</v>
      </c>
      <c r="T94" s="119">
        <f>S94/J94</f>
        <v>0.53845154393530348</v>
      </c>
    </row>
    <row r="96" spans="1:20" x14ac:dyDescent="0.25">
      <c r="F96" s="42">
        <v>2019</v>
      </c>
      <c r="J96" t="s">
        <v>142</v>
      </c>
      <c r="M96" t="s">
        <v>160</v>
      </c>
    </row>
    <row r="97" spans="1:20" ht="75" x14ac:dyDescent="0.25">
      <c r="A97" s="116" t="s">
        <v>165</v>
      </c>
      <c r="B97" s="134" t="s">
        <v>124</v>
      </c>
      <c r="C97" s="135" t="s">
        <v>137</v>
      </c>
      <c r="D97" s="139" t="s">
        <v>164</v>
      </c>
      <c r="E97" s="130" t="s">
        <v>186</v>
      </c>
      <c r="F97" s="116" t="s">
        <v>150</v>
      </c>
      <c r="G97" s="116" t="s">
        <v>156</v>
      </c>
      <c r="H97" s="116" t="s">
        <v>152</v>
      </c>
      <c r="I97" s="116" t="s">
        <v>153</v>
      </c>
      <c r="J97" s="116" t="s">
        <v>151</v>
      </c>
      <c r="K97" s="116" t="s">
        <v>156</v>
      </c>
      <c r="L97" s="116" t="s">
        <v>155</v>
      </c>
      <c r="M97" s="116" t="s">
        <v>154</v>
      </c>
      <c r="N97" s="116" t="s">
        <v>157</v>
      </c>
      <c r="O97" s="116" t="s">
        <v>159</v>
      </c>
      <c r="P97" s="116" t="s">
        <v>158</v>
      </c>
      <c r="Q97" s="116" t="s">
        <v>143</v>
      </c>
      <c r="R97" s="116" t="s">
        <v>145</v>
      </c>
      <c r="S97" s="116" t="s">
        <v>146</v>
      </c>
      <c r="T97" s="116" t="s">
        <v>148</v>
      </c>
    </row>
    <row r="98" spans="1:20" x14ac:dyDescent="0.25">
      <c r="A98" s="132">
        <f>D91</f>
        <v>4.6408219791876353E-3</v>
      </c>
      <c r="B98">
        <v>-1.29</v>
      </c>
      <c r="C98" s="132">
        <f xml:space="preserve"> J30</f>
        <v>-1.3800832642197852E-3</v>
      </c>
      <c r="D98" s="132">
        <f>T99</f>
        <v>2.8646680608597663E-3</v>
      </c>
      <c r="F98" s="117" t="s">
        <v>12</v>
      </c>
      <c r="G98" s="117" t="s">
        <v>141</v>
      </c>
      <c r="H98" s="117" t="s">
        <v>147</v>
      </c>
      <c r="I98" s="42"/>
      <c r="J98" s="117" t="s">
        <v>12</v>
      </c>
      <c r="K98" s="117" t="s">
        <v>141</v>
      </c>
      <c r="L98" s="117" t="s">
        <v>147</v>
      </c>
      <c r="M98" s="117" t="s">
        <v>144</v>
      </c>
      <c r="N98" s="117" t="s">
        <v>147</v>
      </c>
      <c r="O98" s="117" t="s">
        <v>147</v>
      </c>
      <c r="P98" s="117" t="s">
        <v>147</v>
      </c>
      <c r="Q98" s="117" t="s">
        <v>141</v>
      </c>
      <c r="R98" s="117" t="s">
        <v>141</v>
      </c>
      <c r="S98" s="117" t="s">
        <v>12</v>
      </c>
      <c r="T98" s="117" t="s">
        <v>149</v>
      </c>
    </row>
    <row r="99" spans="1:20" x14ac:dyDescent="0.25">
      <c r="F99" s="118">
        <f>'Potencial energético'!$D$23</f>
        <v>271702273084</v>
      </c>
      <c r="G99" s="42">
        <v>89</v>
      </c>
      <c r="H99" s="118">
        <f>F99*G99</f>
        <v>24181502304476</v>
      </c>
      <c r="I99" s="110">
        <v>2030</v>
      </c>
      <c r="J99" s="118">
        <f>J92*(100%+$J$30)</f>
        <v>258691693614.39746</v>
      </c>
      <c r="K99" s="42">
        <v>89</v>
      </c>
      <c r="L99" s="118">
        <f>J99*K99</f>
        <v>23023560731681.375</v>
      </c>
      <c r="M99" s="127">
        <v>0.05</v>
      </c>
      <c r="N99" s="118">
        <f>H99*M99</f>
        <v>1209075115223.8</v>
      </c>
      <c r="O99" s="118">
        <f>L99-H99</f>
        <v>-1157941572794.625</v>
      </c>
      <c r="P99" s="118">
        <f>O99+N99</f>
        <v>51133542429.175049</v>
      </c>
      <c r="Q99" s="128">
        <v>20</v>
      </c>
      <c r="R99" s="42">
        <f>K99-Q99</f>
        <v>69</v>
      </c>
      <c r="S99" s="118">
        <f>P99/R99</f>
        <v>741065832.30688477</v>
      </c>
      <c r="T99" s="119">
        <f>S99/J99</f>
        <v>2.8646680608597663E-3</v>
      </c>
    </row>
    <row r="100" spans="1:20" x14ac:dyDescent="0.25">
      <c r="F100" s="118">
        <f>F99</f>
        <v>271702273084</v>
      </c>
      <c r="G100" s="42">
        <v>89</v>
      </c>
      <c r="H100" s="42">
        <f t="shared" ref="H100:H101" si="29">F100*G100</f>
        <v>24181502304476</v>
      </c>
      <c r="I100" s="110">
        <v>2040</v>
      </c>
      <c r="J100" s="118">
        <f>J93*(100%+$J$30)</f>
        <v>290416209390.14941</v>
      </c>
      <c r="K100" s="42">
        <v>89</v>
      </c>
      <c r="L100" s="118">
        <f>J100*K100</f>
        <v>25847042635723.297</v>
      </c>
      <c r="M100" s="127">
        <v>0.2</v>
      </c>
      <c r="N100" s="118">
        <f>H100*M100</f>
        <v>4836300460895.2002</v>
      </c>
      <c r="O100" s="118">
        <f>L100-H100</f>
        <v>1665540331247.2969</v>
      </c>
      <c r="P100" s="118">
        <f>O100+N100</f>
        <v>6501840792142.4971</v>
      </c>
      <c r="Q100" s="128">
        <v>20</v>
      </c>
      <c r="R100" s="42">
        <f>K100-Q100</f>
        <v>69</v>
      </c>
      <c r="S100" s="118">
        <f>P100/R100</f>
        <v>94229576697.717346</v>
      </c>
      <c r="T100" s="119">
        <f>S100/J100</f>
        <v>0.32446390267124497</v>
      </c>
    </row>
    <row r="101" spans="1:20" x14ac:dyDescent="0.25">
      <c r="F101" s="118">
        <f>F100</f>
        <v>271702273084</v>
      </c>
      <c r="G101" s="42">
        <v>89</v>
      </c>
      <c r="H101" s="42">
        <f t="shared" si="29"/>
        <v>24181502304476</v>
      </c>
      <c r="I101" s="110">
        <v>2050</v>
      </c>
      <c r="J101" s="118">
        <f>J94*(100%+$J$30)</f>
        <v>326031243980.57196</v>
      </c>
      <c r="K101" s="42">
        <v>89</v>
      </c>
      <c r="L101" s="118">
        <f>J101*K101</f>
        <v>29016780714270.906</v>
      </c>
      <c r="M101" s="127">
        <v>0.3</v>
      </c>
      <c r="N101" s="118">
        <f>H101*M101</f>
        <v>7254450691342.7998</v>
      </c>
      <c r="O101" s="118">
        <f>L101-H101</f>
        <v>4835278409794.9063</v>
      </c>
      <c r="P101" s="118">
        <f>O101+N101</f>
        <v>12089729101137.707</v>
      </c>
      <c r="Q101" s="128">
        <v>20</v>
      </c>
      <c r="R101" s="42">
        <f>K101-Q101</f>
        <v>69</v>
      </c>
      <c r="S101" s="118">
        <f t="shared" ref="S101" si="30">P101/R101</f>
        <v>175213465233.87982</v>
      </c>
      <c r="T101" s="119">
        <f>S101/J101</f>
        <v>0.53741311137751169</v>
      </c>
    </row>
    <row r="103" spans="1:20" x14ac:dyDescent="0.25">
      <c r="F103" s="42">
        <v>2019</v>
      </c>
      <c r="J103" t="s">
        <v>142</v>
      </c>
      <c r="M103" t="s">
        <v>160</v>
      </c>
    </row>
    <row r="104" spans="1:20" ht="75" x14ac:dyDescent="0.25">
      <c r="A104" s="116" t="s">
        <v>165</v>
      </c>
      <c r="B104" s="134" t="s">
        <v>124</v>
      </c>
      <c r="C104" s="135" t="s">
        <v>137</v>
      </c>
      <c r="D104" s="139" t="s">
        <v>164</v>
      </c>
      <c r="E104" s="130" t="s">
        <v>187</v>
      </c>
      <c r="F104" s="116" t="s">
        <v>150</v>
      </c>
      <c r="G104" s="116" t="s">
        <v>156</v>
      </c>
      <c r="H104" s="116" t="s">
        <v>152</v>
      </c>
      <c r="I104" s="116" t="s">
        <v>153</v>
      </c>
      <c r="J104" s="116" t="s">
        <v>151</v>
      </c>
      <c r="K104" s="116" t="s">
        <v>156</v>
      </c>
      <c r="L104" s="116" t="s">
        <v>155</v>
      </c>
      <c r="M104" s="116" t="s">
        <v>154</v>
      </c>
      <c r="N104" s="116" t="s">
        <v>157</v>
      </c>
      <c r="O104" s="116" t="s">
        <v>159</v>
      </c>
      <c r="P104" s="116" t="s">
        <v>158</v>
      </c>
      <c r="Q104" s="116" t="s">
        <v>143</v>
      </c>
      <c r="R104" s="116" t="s">
        <v>145</v>
      </c>
      <c r="S104" s="116" t="s">
        <v>146</v>
      </c>
      <c r="T104" s="116" t="s">
        <v>148</v>
      </c>
    </row>
    <row r="105" spans="1:20" x14ac:dyDescent="0.25">
      <c r="A105" s="132">
        <f>D98</f>
        <v>2.8646680608597663E-3</v>
      </c>
      <c r="B105">
        <v>-1.29</v>
      </c>
      <c r="C105" s="132">
        <f xml:space="preserve"> K30</f>
        <v>-8.518922867688961E-4</v>
      </c>
      <c r="D105" s="132">
        <f>T106</f>
        <v>1.7673560705827158E-3</v>
      </c>
      <c r="F105" s="117" t="s">
        <v>12</v>
      </c>
      <c r="G105" s="117" t="s">
        <v>141</v>
      </c>
      <c r="H105" s="117" t="s">
        <v>147</v>
      </c>
      <c r="I105" s="42"/>
      <c r="J105" s="117" t="s">
        <v>12</v>
      </c>
      <c r="K105" s="117" t="s">
        <v>141</v>
      </c>
      <c r="L105" s="117" t="s">
        <v>147</v>
      </c>
      <c r="M105" s="117" t="s">
        <v>144</v>
      </c>
      <c r="N105" s="117" t="s">
        <v>147</v>
      </c>
      <c r="O105" s="117" t="s">
        <v>147</v>
      </c>
      <c r="P105" s="117" t="s">
        <v>147</v>
      </c>
      <c r="Q105" s="117" t="s">
        <v>141</v>
      </c>
      <c r="R105" s="117" t="s">
        <v>141</v>
      </c>
      <c r="S105" s="117" t="s">
        <v>12</v>
      </c>
      <c r="T105" s="117" t="s">
        <v>149</v>
      </c>
    </row>
    <row r="106" spans="1:20" x14ac:dyDescent="0.25">
      <c r="F106" s="118">
        <f>'Potencial energético'!$D$23</f>
        <v>271702273084</v>
      </c>
      <c r="G106" s="42">
        <v>89</v>
      </c>
      <c r="H106" s="118">
        <f>F106*G106</f>
        <v>24181502304476</v>
      </c>
      <c r="I106" s="110">
        <v>2030</v>
      </c>
      <c r="J106" s="118">
        <f>J99*(100%+$K$30)</f>
        <v>258471316155.95618</v>
      </c>
      <c r="K106" s="42">
        <v>89</v>
      </c>
      <c r="L106" s="118">
        <f>J106*K106</f>
        <v>23003947137880.102</v>
      </c>
      <c r="M106" s="127">
        <v>0.05</v>
      </c>
      <c r="N106" s="118">
        <f>H106*M106</f>
        <v>1209075115223.8</v>
      </c>
      <c r="O106" s="118">
        <f>L106-H106</f>
        <v>-1177555166595.8984</v>
      </c>
      <c r="P106" s="118">
        <f>O106+N106</f>
        <v>31519948627.901611</v>
      </c>
      <c r="Q106" s="128">
        <v>20</v>
      </c>
      <c r="R106" s="42">
        <f>K106-Q106</f>
        <v>69</v>
      </c>
      <c r="S106" s="118">
        <f>P106/R106</f>
        <v>456810849.67973351</v>
      </c>
      <c r="T106" s="119">
        <f>S106/J106</f>
        <v>1.7673560705827158E-3</v>
      </c>
    </row>
    <row r="107" spans="1:20" x14ac:dyDescent="0.25">
      <c r="F107" s="118">
        <f>F106</f>
        <v>271702273084</v>
      </c>
      <c r="G107" s="42">
        <v>89</v>
      </c>
      <c r="H107" s="42">
        <f t="shared" ref="H107:H108" si="31">F107*G107</f>
        <v>24181502304476</v>
      </c>
      <c r="I107" s="110">
        <v>2040</v>
      </c>
      <c r="J107" s="118">
        <f>J100*(100%+$K$30)</f>
        <v>290168806061.4173</v>
      </c>
      <c r="K107" s="42">
        <v>89</v>
      </c>
      <c r="L107" s="118">
        <f>J107*K107</f>
        <v>25825023739466.141</v>
      </c>
      <c r="M107" s="127">
        <v>0.2</v>
      </c>
      <c r="N107" s="118">
        <f>H107*M107</f>
        <v>4836300460895.2002</v>
      </c>
      <c r="O107" s="118">
        <f>L107-H107</f>
        <v>1643521434990.1406</v>
      </c>
      <c r="P107" s="118">
        <f>O107+N107</f>
        <v>6479821895885.3408</v>
      </c>
      <c r="Q107" s="128">
        <v>20</v>
      </c>
      <c r="R107" s="42">
        <f>K107-Q107</f>
        <v>69</v>
      </c>
      <c r="S107" s="118">
        <f>P107/R107</f>
        <v>93910462259.20784</v>
      </c>
      <c r="T107" s="119">
        <f>S107/J107</f>
        <v>0.32364079217850417</v>
      </c>
    </row>
    <row r="108" spans="1:20" x14ac:dyDescent="0.25">
      <c r="F108" s="118">
        <f>F107</f>
        <v>271702273084</v>
      </c>
      <c r="G108" s="42">
        <v>89</v>
      </c>
      <c r="H108" s="42">
        <f t="shared" si="31"/>
        <v>24181502304476</v>
      </c>
      <c r="I108" s="110">
        <v>2050</v>
      </c>
      <c r="J108" s="118">
        <f>J101*(100%+$K$30)</f>
        <v>325753500478.57928</v>
      </c>
      <c r="K108" s="42">
        <v>89</v>
      </c>
      <c r="L108" s="118">
        <f>J108*K108</f>
        <v>28992061542593.555</v>
      </c>
      <c r="M108" s="127">
        <v>0.3</v>
      </c>
      <c r="N108" s="118">
        <f>H108*M108</f>
        <v>7254450691342.7998</v>
      </c>
      <c r="O108" s="118">
        <f>L108-H108</f>
        <v>4810559238117.5547</v>
      </c>
      <c r="P108" s="118">
        <f>O108+N108</f>
        <v>12065009929460.355</v>
      </c>
      <c r="Q108" s="128">
        <v>20</v>
      </c>
      <c r="R108" s="42">
        <f>K108-Q108</f>
        <v>69</v>
      </c>
      <c r="S108" s="118">
        <f t="shared" ref="S108" si="32">P108/R108</f>
        <v>174855216368.99066</v>
      </c>
      <c r="T108" s="119">
        <f>S108/J108</f>
        <v>0.53677156534650561</v>
      </c>
    </row>
    <row r="110" spans="1:20" x14ac:dyDescent="0.25">
      <c r="F110" s="42">
        <v>2019</v>
      </c>
      <c r="J110" t="s">
        <v>142</v>
      </c>
      <c r="M110" t="s">
        <v>160</v>
      </c>
    </row>
    <row r="111" spans="1:20" ht="75" x14ac:dyDescent="0.25">
      <c r="A111" s="116" t="s">
        <v>165</v>
      </c>
      <c r="B111" s="134" t="s">
        <v>124</v>
      </c>
      <c r="C111" s="135" t="s">
        <v>137</v>
      </c>
      <c r="D111" s="139" t="s">
        <v>164</v>
      </c>
      <c r="E111" s="130" t="s">
        <v>188</v>
      </c>
      <c r="F111" s="116" t="s">
        <v>150</v>
      </c>
      <c r="G111" s="116" t="s">
        <v>156</v>
      </c>
      <c r="H111" s="116" t="s">
        <v>152</v>
      </c>
      <c r="I111" s="116" t="s">
        <v>153</v>
      </c>
      <c r="J111" s="116" t="s">
        <v>151</v>
      </c>
      <c r="K111" s="116" t="s">
        <v>156</v>
      </c>
      <c r="L111" s="116" t="s">
        <v>155</v>
      </c>
      <c r="M111" s="116" t="s">
        <v>154</v>
      </c>
      <c r="N111" s="116" t="s">
        <v>157</v>
      </c>
      <c r="O111" s="116" t="s">
        <v>159</v>
      </c>
      <c r="P111" s="116" t="s">
        <v>158</v>
      </c>
      <c r="Q111" s="116" t="s">
        <v>143</v>
      </c>
      <c r="R111" s="116" t="s">
        <v>145</v>
      </c>
      <c r="S111" s="116" t="s">
        <v>146</v>
      </c>
      <c r="T111" s="116" t="s">
        <v>148</v>
      </c>
    </row>
    <row r="112" spans="1:20" x14ac:dyDescent="0.25">
      <c r="A112" s="132">
        <f>D105</f>
        <v>1.7673560705827158E-3</v>
      </c>
      <c r="B112">
        <v>-1.29</v>
      </c>
      <c r="C112" s="132">
        <f xml:space="preserve"> L30</f>
        <v>-5.2557468178415366E-4</v>
      </c>
      <c r="D112" s="132">
        <f>T113</f>
        <v>1.0900137849729253E-3</v>
      </c>
      <c r="F112" s="117" t="s">
        <v>12</v>
      </c>
      <c r="G112" s="117" t="s">
        <v>141</v>
      </c>
      <c r="H112" s="117" t="s">
        <v>147</v>
      </c>
      <c r="I112" s="42"/>
      <c r="J112" s="117" t="s">
        <v>12</v>
      </c>
      <c r="K112" s="117" t="s">
        <v>141</v>
      </c>
      <c r="L112" s="117" t="s">
        <v>147</v>
      </c>
      <c r="M112" s="117" t="s">
        <v>144</v>
      </c>
      <c r="N112" s="117" t="s">
        <v>147</v>
      </c>
      <c r="O112" s="117" t="s">
        <v>147</v>
      </c>
      <c r="P112" s="117" t="s">
        <v>147</v>
      </c>
      <c r="Q112" s="117" t="s">
        <v>141</v>
      </c>
      <c r="R112" s="117" t="s">
        <v>141</v>
      </c>
      <c r="S112" s="117" t="s">
        <v>12</v>
      </c>
      <c r="T112" s="117" t="s">
        <v>149</v>
      </c>
    </row>
    <row r="113" spans="1:20" x14ac:dyDescent="0.25">
      <c r="F113" s="118">
        <f>'Potencial energético'!$D$23</f>
        <v>271702273084</v>
      </c>
      <c r="G113" s="42">
        <v>89</v>
      </c>
      <c r="H113" s="118">
        <f>F113*G113</f>
        <v>24181502304476</v>
      </c>
      <c r="I113" s="110">
        <v>2030</v>
      </c>
      <c r="J113" s="118">
        <f>J106*(100%+$L$30)</f>
        <v>258335470176.21716</v>
      </c>
      <c r="K113" s="42">
        <v>89</v>
      </c>
      <c r="L113" s="118">
        <f>J113*K113</f>
        <v>22991856845683.328</v>
      </c>
      <c r="M113" s="127">
        <v>0.05</v>
      </c>
      <c r="N113" s="118">
        <f>H113*M113</f>
        <v>1209075115223.8</v>
      </c>
      <c r="O113" s="118">
        <f>L113-H113</f>
        <v>-1189645458792.6719</v>
      </c>
      <c r="P113" s="118">
        <f>O113+N113</f>
        <v>19429656431.128174</v>
      </c>
      <c r="Q113" s="128">
        <v>20</v>
      </c>
      <c r="R113" s="42">
        <f>K113-Q113</f>
        <v>69</v>
      </c>
      <c r="S113" s="118">
        <f>P113/R113</f>
        <v>281589223.63953876</v>
      </c>
      <c r="T113" s="119">
        <f>S113/J113</f>
        <v>1.0900137849729253E-3</v>
      </c>
    </row>
    <row r="114" spans="1:20" x14ac:dyDescent="0.25">
      <c r="F114" s="118">
        <f>F113</f>
        <v>271702273084</v>
      </c>
      <c r="G114" s="42">
        <v>89</v>
      </c>
      <c r="H114" s="42">
        <f t="shared" ref="H114:H115" si="33">F114*G114</f>
        <v>24181502304476</v>
      </c>
      <c r="I114" s="110">
        <v>2040</v>
      </c>
      <c r="J114" s="118">
        <f>J107*(100%+$L$30)</f>
        <v>290016300683.50787</v>
      </c>
      <c r="K114" s="42">
        <v>89</v>
      </c>
      <c r="L114" s="118">
        <f>J114*K114</f>
        <v>25811450760832.199</v>
      </c>
      <c r="M114" s="127">
        <v>0.2</v>
      </c>
      <c r="N114" s="118">
        <f>H114*M114</f>
        <v>4836300460895.2002</v>
      </c>
      <c r="O114" s="118">
        <f>L114-H114</f>
        <v>1629948456356.1992</v>
      </c>
      <c r="P114" s="118">
        <f>O114+N114</f>
        <v>6466248917251.3994</v>
      </c>
      <c r="Q114" s="128">
        <v>20</v>
      </c>
      <c r="R114" s="42">
        <f>K114-Q114</f>
        <v>69</v>
      </c>
      <c r="S114" s="118">
        <f>P114/R114</f>
        <v>93713752423.933319</v>
      </c>
      <c r="T114" s="119">
        <f>S114/J114</f>
        <v>0.32313270737910099</v>
      </c>
    </row>
    <row r="115" spans="1:20" x14ac:dyDescent="0.25">
      <c r="F115" s="118">
        <f>F114</f>
        <v>271702273084</v>
      </c>
      <c r="G115" s="42">
        <v>89</v>
      </c>
      <c r="H115" s="42">
        <f t="shared" si="33"/>
        <v>24181502304476</v>
      </c>
      <c r="I115" s="110">
        <v>2050</v>
      </c>
      <c r="J115" s="118">
        <f>J108*(100%+$L$30)</f>
        <v>325582292686.22516</v>
      </c>
      <c r="K115" s="42">
        <v>89</v>
      </c>
      <c r="L115" s="118">
        <f>J115*K115</f>
        <v>28976824049074.039</v>
      </c>
      <c r="M115" s="127">
        <v>0.3</v>
      </c>
      <c r="N115" s="118">
        <f>H115*M115</f>
        <v>7254450691342.7998</v>
      </c>
      <c r="O115" s="118">
        <f>L115-H115</f>
        <v>4795321744598.0391</v>
      </c>
      <c r="P115" s="118">
        <f>O115+N115</f>
        <v>12049772435940.84</v>
      </c>
      <c r="Q115" s="128">
        <v>20</v>
      </c>
      <c r="R115" s="42">
        <f>K115-Q115</f>
        <v>69</v>
      </c>
      <c r="S115" s="118">
        <f t="shared" ref="S115" si="34">P115/R115</f>
        <v>174634383129.57739</v>
      </c>
      <c r="T115" s="119">
        <f>S115/J115</f>
        <v>0.53637555558919336</v>
      </c>
    </row>
    <row r="117" spans="1:20" x14ac:dyDescent="0.25">
      <c r="F117" s="42">
        <v>2019</v>
      </c>
      <c r="J117" t="s">
        <v>142</v>
      </c>
      <c r="M117" t="s">
        <v>160</v>
      </c>
    </row>
    <row r="118" spans="1:20" ht="75" x14ac:dyDescent="0.25">
      <c r="A118" s="116" t="s">
        <v>165</v>
      </c>
      <c r="B118" s="134" t="s">
        <v>124</v>
      </c>
      <c r="C118" s="135" t="s">
        <v>137</v>
      </c>
      <c r="D118" s="139" t="s">
        <v>164</v>
      </c>
      <c r="E118" s="130" t="s">
        <v>189</v>
      </c>
      <c r="F118" s="116" t="s">
        <v>150</v>
      </c>
      <c r="G118" s="116" t="s">
        <v>156</v>
      </c>
      <c r="H118" s="116" t="s">
        <v>152</v>
      </c>
      <c r="I118" s="116" t="s">
        <v>153</v>
      </c>
      <c r="J118" s="116" t="s">
        <v>151</v>
      </c>
      <c r="K118" s="116" t="s">
        <v>156</v>
      </c>
      <c r="L118" s="116" t="s">
        <v>155</v>
      </c>
      <c r="M118" s="116" t="s">
        <v>154</v>
      </c>
      <c r="N118" s="116" t="s">
        <v>157</v>
      </c>
      <c r="O118" s="116" t="s">
        <v>159</v>
      </c>
      <c r="P118" s="116" t="s">
        <v>158</v>
      </c>
      <c r="Q118" s="116" t="s">
        <v>143</v>
      </c>
      <c r="R118" s="116" t="s">
        <v>145</v>
      </c>
      <c r="S118" s="116" t="s">
        <v>146</v>
      </c>
      <c r="T118" s="116" t="s">
        <v>148</v>
      </c>
    </row>
    <row r="119" spans="1:20" x14ac:dyDescent="0.25">
      <c r="A119" s="132">
        <f>D112</f>
        <v>1.0900137849729253E-3</v>
      </c>
      <c r="B119">
        <v>-1.29</v>
      </c>
      <c r="C119" s="132">
        <f xml:space="preserve"> M30</f>
        <v>-3.2414727157306807E-4</v>
      </c>
      <c r="D119" s="132">
        <f>T120</f>
        <v>6.7212865117759635E-4</v>
      </c>
      <c r="F119" s="117" t="s">
        <v>12</v>
      </c>
      <c r="G119" s="117" t="s">
        <v>141</v>
      </c>
      <c r="H119" s="117" t="s">
        <v>147</v>
      </c>
      <c r="I119" s="42"/>
      <c r="J119" s="117" t="s">
        <v>12</v>
      </c>
      <c r="K119" s="117" t="s">
        <v>141</v>
      </c>
      <c r="L119" s="117" t="s">
        <v>147</v>
      </c>
      <c r="M119" s="117" t="s">
        <v>144</v>
      </c>
      <c r="N119" s="117" t="s">
        <v>147</v>
      </c>
      <c r="O119" s="117" t="s">
        <v>147</v>
      </c>
      <c r="P119" s="117" t="s">
        <v>147</v>
      </c>
      <c r="Q119" s="117" t="s">
        <v>141</v>
      </c>
      <c r="R119" s="117" t="s">
        <v>141</v>
      </c>
      <c r="S119" s="117" t="s">
        <v>12</v>
      </c>
      <c r="T119" s="117" t="s">
        <v>149</v>
      </c>
    </row>
    <row r="120" spans="1:20" x14ac:dyDescent="0.25">
      <c r="F120" s="118">
        <f>'Potencial energético'!$D$23</f>
        <v>271702273084</v>
      </c>
      <c r="G120" s="42">
        <v>89</v>
      </c>
      <c r="H120" s="118">
        <f>F120*G120</f>
        <v>24181502304476</v>
      </c>
      <c r="I120" s="110">
        <v>2030</v>
      </c>
      <c r="J120" s="118">
        <f>J113*(100%+$M$30)</f>
        <v>258251731438.409</v>
      </c>
      <c r="K120" s="42">
        <v>89</v>
      </c>
      <c r="L120" s="118">
        <f>J120*K120</f>
        <v>22984404098018.402</v>
      </c>
      <c r="M120" s="127">
        <v>0.05</v>
      </c>
      <c r="N120" s="118">
        <f>H120*M120</f>
        <v>1209075115223.8</v>
      </c>
      <c r="O120" s="118">
        <f>L120-H120</f>
        <v>-1197098206457.5977</v>
      </c>
      <c r="P120" s="118">
        <f>O120+N120</f>
        <v>11976908766.202393</v>
      </c>
      <c r="Q120" s="128">
        <v>20</v>
      </c>
      <c r="R120" s="42">
        <f>K120-Q120</f>
        <v>69</v>
      </c>
      <c r="S120" s="118">
        <f>P120/R120</f>
        <v>173578387.9159767</v>
      </c>
      <c r="T120" s="119">
        <f>S120/J120</f>
        <v>6.7212865117759635E-4</v>
      </c>
    </row>
    <row r="121" spans="1:20" x14ac:dyDescent="0.25">
      <c r="F121" s="118">
        <f>F120</f>
        <v>271702273084</v>
      </c>
      <c r="G121" s="42">
        <v>89</v>
      </c>
      <c r="H121" s="42">
        <f t="shared" ref="H121:H122" si="35">F121*G121</f>
        <v>24181502304476</v>
      </c>
      <c r="I121" s="110">
        <v>2040</v>
      </c>
      <c r="J121" s="118">
        <f>J114*(100%+$M$30)</f>
        <v>289922292690.92963</v>
      </c>
      <c r="K121" s="42">
        <v>89</v>
      </c>
      <c r="L121" s="118">
        <f>J121*K121</f>
        <v>25803084049492.738</v>
      </c>
      <c r="M121" s="127">
        <v>0.2</v>
      </c>
      <c r="N121" s="118">
        <f>H121*M121</f>
        <v>4836300460895.2002</v>
      </c>
      <c r="O121" s="118">
        <f>L121-H121</f>
        <v>1621581745016.7383</v>
      </c>
      <c r="P121" s="118">
        <f>O121+N121</f>
        <v>6457882205911.9385</v>
      </c>
      <c r="Q121" s="128">
        <v>20</v>
      </c>
      <c r="R121" s="42">
        <f>K121-Q121</f>
        <v>69</v>
      </c>
      <c r="S121" s="118">
        <f>P121/R121</f>
        <v>93592495737.854187</v>
      </c>
      <c r="T121" s="119">
        <f>S121/J121</f>
        <v>0.32281924535423034</v>
      </c>
    </row>
    <row r="122" spans="1:20" x14ac:dyDescent="0.25">
      <c r="F122" s="118">
        <f>F121</f>
        <v>271702273084</v>
      </c>
      <c r="G122" s="42">
        <v>89</v>
      </c>
      <c r="H122" s="42">
        <f t="shared" si="35"/>
        <v>24181502304476</v>
      </c>
      <c r="I122" s="110">
        <v>2050</v>
      </c>
      <c r="J122" s="118">
        <f>J115*(100%+$M$30)</f>
        <v>325476756074.37842</v>
      </c>
      <c r="K122" s="42">
        <v>89</v>
      </c>
      <c r="L122" s="118">
        <f>J122*K122</f>
        <v>28967431290619.68</v>
      </c>
      <c r="M122" s="127">
        <v>0.3</v>
      </c>
      <c r="N122" s="118">
        <f>H122*M122</f>
        <v>7254450691342.7998</v>
      </c>
      <c r="O122" s="118">
        <f>L122-H122</f>
        <v>4785928986143.6797</v>
      </c>
      <c r="P122" s="118">
        <f>O122+N122</f>
        <v>12040379677486.48</v>
      </c>
      <c r="Q122" s="128">
        <v>20</v>
      </c>
      <c r="R122" s="42">
        <f>K122-Q122</f>
        <v>69</v>
      </c>
      <c r="S122" s="118">
        <f t="shared" ref="S122" si="36">P122/R122</f>
        <v>174498256195.45624</v>
      </c>
      <c r="T122" s="119">
        <f>S122/J122</f>
        <v>0.53613123806475338</v>
      </c>
    </row>
    <row r="124" spans="1:20" x14ac:dyDescent="0.25">
      <c r="F124" s="42">
        <v>2019</v>
      </c>
      <c r="J124" t="s">
        <v>142</v>
      </c>
      <c r="M124" t="s">
        <v>160</v>
      </c>
    </row>
    <row r="125" spans="1:20" ht="75" x14ac:dyDescent="0.25">
      <c r="A125" s="116" t="s">
        <v>165</v>
      </c>
      <c r="B125" s="134" t="s">
        <v>124</v>
      </c>
      <c r="C125" s="135" t="s">
        <v>137</v>
      </c>
      <c r="D125" s="139" t="s">
        <v>164</v>
      </c>
      <c r="E125" s="130" t="s">
        <v>190</v>
      </c>
      <c r="F125" s="116" t="s">
        <v>150</v>
      </c>
      <c r="G125" s="116" t="s">
        <v>156</v>
      </c>
      <c r="H125" s="116" t="s">
        <v>152</v>
      </c>
      <c r="I125" s="116" t="s">
        <v>153</v>
      </c>
      <c r="J125" s="116" t="s">
        <v>151</v>
      </c>
      <c r="K125" s="116" t="s">
        <v>156</v>
      </c>
      <c r="L125" s="116" t="s">
        <v>155</v>
      </c>
      <c r="M125" s="116" t="s">
        <v>154</v>
      </c>
      <c r="N125" s="116" t="s">
        <v>157</v>
      </c>
      <c r="O125" s="116" t="s">
        <v>159</v>
      </c>
      <c r="P125" s="116" t="s">
        <v>158</v>
      </c>
      <c r="Q125" s="116" t="s">
        <v>143</v>
      </c>
      <c r="R125" s="116" t="s">
        <v>145</v>
      </c>
      <c r="S125" s="116" t="s">
        <v>146</v>
      </c>
      <c r="T125" s="116" t="s">
        <v>148</v>
      </c>
    </row>
    <row r="126" spans="1:20" x14ac:dyDescent="0.25">
      <c r="A126" s="132">
        <f>D119</f>
        <v>6.7212865117759635E-4</v>
      </c>
      <c r="B126">
        <v>-1.29</v>
      </c>
      <c r="C126" s="132">
        <f xml:space="preserve"> N30</f>
        <v>0</v>
      </c>
      <c r="D126" s="132">
        <f xml:space="preserve"> T127</f>
        <v>2.5410801713400587E-4</v>
      </c>
      <c r="F126" s="117" t="s">
        <v>12</v>
      </c>
      <c r="G126" s="117" t="s">
        <v>141</v>
      </c>
      <c r="H126" s="117" t="s">
        <v>147</v>
      </c>
      <c r="I126" s="42"/>
      <c r="J126" s="117" t="s">
        <v>12</v>
      </c>
      <c r="K126" s="117" t="s">
        <v>141</v>
      </c>
      <c r="L126" s="117" t="s">
        <v>147</v>
      </c>
      <c r="M126" s="117" t="s">
        <v>144</v>
      </c>
      <c r="N126" s="117" t="s">
        <v>147</v>
      </c>
      <c r="O126" s="117" t="s">
        <v>147</v>
      </c>
      <c r="P126" s="117" t="s">
        <v>147</v>
      </c>
      <c r="Q126" s="117" t="s">
        <v>141</v>
      </c>
      <c r="R126" s="117" t="s">
        <v>141</v>
      </c>
      <c r="S126" s="117" t="s">
        <v>12</v>
      </c>
      <c r="T126" s="117" t="s">
        <v>149</v>
      </c>
    </row>
    <row r="127" spans="1:20" x14ac:dyDescent="0.25">
      <c r="F127" s="118">
        <f>'Potencial energético'!$D$23</f>
        <v>271702273084</v>
      </c>
      <c r="G127" s="42">
        <v>89</v>
      </c>
      <c r="H127" s="118">
        <f>F127*G127</f>
        <v>24181502304476</v>
      </c>
      <c r="I127" s="110">
        <v>2030</v>
      </c>
      <c r="J127" s="118">
        <f>J120*(100%+$M$30)</f>
        <v>258168019844.28421</v>
      </c>
      <c r="K127" s="42">
        <v>89</v>
      </c>
      <c r="L127" s="118">
        <f>J127*K127</f>
        <v>22976953766141.293</v>
      </c>
      <c r="M127" s="127">
        <v>0.05</v>
      </c>
      <c r="N127" s="118">
        <f>H127*M127</f>
        <v>1209075115223.8</v>
      </c>
      <c r="O127" s="118">
        <f>L127-H127</f>
        <v>-1204548538334.707</v>
      </c>
      <c r="P127" s="118">
        <f>O127+N127</f>
        <v>4526576889.0930176</v>
      </c>
      <c r="Q127" s="128">
        <v>20</v>
      </c>
      <c r="R127" s="42">
        <f>K127-Q127</f>
        <v>69</v>
      </c>
      <c r="S127" s="118">
        <f>P127/R127</f>
        <v>65602563.610043734</v>
      </c>
      <c r="T127" s="119">
        <f>S127/J127</f>
        <v>2.5410801713400587E-4</v>
      </c>
    </row>
    <row r="128" spans="1:20" x14ac:dyDescent="0.25">
      <c r="F128" s="118">
        <f>F127</f>
        <v>271702273084</v>
      </c>
      <c r="G128" s="42">
        <v>89</v>
      </c>
      <c r="H128" s="42">
        <f t="shared" ref="H128:H129" si="37">F128*G128</f>
        <v>24181502304476</v>
      </c>
      <c r="I128" s="110">
        <v>2040</v>
      </c>
      <c r="J128" s="118">
        <f>J121*(100%+$M$30)</f>
        <v>289828315170.78564</v>
      </c>
      <c r="K128" s="42">
        <v>89</v>
      </c>
      <c r="L128" s="118">
        <f>J128*K128</f>
        <v>25794720050199.922</v>
      </c>
      <c r="M128" s="127">
        <v>0.2</v>
      </c>
      <c r="N128" s="118">
        <f>H128*M128</f>
        <v>4836300460895.2002</v>
      </c>
      <c r="O128" s="118">
        <f>L128-H128</f>
        <v>1613217745723.9219</v>
      </c>
      <c r="P128" s="118">
        <f>O128+N128</f>
        <v>6449518206619.1221</v>
      </c>
      <c r="Q128" s="128">
        <v>20</v>
      </c>
      <c r="R128" s="42">
        <f>K128-Q128</f>
        <v>69</v>
      </c>
      <c r="S128" s="118">
        <f>P128/R128</f>
        <v>93471278356.798874</v>
      </c>
      <c r="T128" s="119">
        <f>S128/J128</f>
        <v>0.32250568168855254</v>
      </c>
    </row>
    <row r="129" spans="6:20" x14ac:dyDescent="0.25">
      <c r="F129" s="118">
        <f>F128</f>
        <v>271702273084</v>
      </c>
      <c r="G129" s="42">
        <v>89</v>
      </c>
      <c r="H129" s="42">
        <f t="shared" si="37"/>
        <v>24181502304476</v>
      </c>
      <c r="I129" s="110">
        <v>2050</v>
      </c>
      <c r="J129" s="118">
        <f>J122*(100%+$M$30)</f>
        <v>325371253671.93646</v>
      </c>
      <c r="K129" s="42">
        <v>89</v>
      </c>
      <c r="L129" s="118">
        <f>J129*K129</f>
        <v>28958041576802.344</v>
      </c>
      <c r="M129" s="127">
        <v>0.3</v>
      </c>
      <c r="N129" s="118">
        <f>H129*M129</f>
        <v>7254450691342.7998</v>
      </c>
      <c r="O129" s="118">
        <f>L129-H129</f>
        <v>4776539272326.3438</v>
      </c>
      <c r="P129" s="118">
        <f>O129+N129</f>
        <v>12030989963669.145</v>
      </c>
      <c r="Q129" s="128">
        <v>20</v>
      </c>
      <c r="R129" s="42">
        <f>K129-Q129</f>
        <v>69</v>
      </c>
      <c r="S129" s="118">
        <f t="shared" ref="S129" si="38">P129/R129</f>
        <v>174362173386.50934</v>
      </c>
      <c r="T129" s="119">
        <f>S129/J129</f>
        <v>0.53588684131977515</v>
      </c>
    </row>
    <row r="131" spans="6:20" x14ac:dyDescent="0.25">
      <c r="J131" s="115">
        <f>J127</f>
        <v>258168019844.28421</v>
      </c>
      <c r="K131" s="26">
        <f>J131/J132</f>
        <v>0.90370555906589822</v>
      </c>
    </row>
    <row r="132" spans="6:20" x14ac:dyDescent="0.25">
      <c r="J132" s="115">
        <f>J43</f>
        <v>285677140363.21271</v>
      </c>
      <c r="K132" s="115">
        <f>J132-J131</f>
        <v>27509120518.928497</v>
      </c>
    </row>
    <row r="133" spans="6:20" x14ac:dyDescent="0.25">
      <c r="K133" s="143">
        <f>K132/J132</f>
        <v>9.6294440934101805E-2</v>
      </c>
    </row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146A-1F78-4272-B674-52DABC12E686}">
  <dimension ref="A1:AB70"/>
  <sheetViews>
    <sheetView topLeftCell="A46" zoomScale="85" zoomScaleNormal="85" workbookViewId="0">
      <selection activeCell="U47" sqref="U47"/>
    </sheetView>
  </sheetViews>
  <sheetFormatPr defaultRowHeight="15" x14ac:dyDescent="0.25"/>
  <cols>
    <col min="1" max="1" width="14" customWidth="1"/>
    <col min="2" max="2" width="14.42578125" customWidth="1"/>
    <col min="3" max="3" width="11.42578125" customWidth="1"/>
    <col min="4" max="4" width="12.42578125" customWidth="1"/>
    <col min="5" max="5" width="12" customWidth="1"/>
    <col min="6" max="6" width="11.42578125" customWidth="1"/>
    <col min="7" max="7" width="10.140625" customWidth="1"/>
    <col min="8" max="9" width="10.85546875" customWidth="1"/>
    <col min="10" max="10" width="13.140625" customWidth="1"/>
    <col min="11" max="11" width="11.42578125" customWidth="1"/>
    <col min="12" max="12" width="14" customWidth="1"/>
    <col min="13" max="13" width="12.7109375" customWidth="1"/>
    <col min="14" max="14" width="12.140625" customWidth="1"/>
    <col min="15" max="16" width="11.140625" customWidth="1"/>
    <col min="17" max="17" width="11.28515625" customWidth="1"/>
    <col min="18" max="18" width="11.140625" customWidth="1"/>
    <col min="19" max="19" width="10.7109375" customWidth="1"/>
  </cols>
  <sheetData>
    <row r="1" spans="1:20" x14ac:dyDescent="0.25">
      <c r="A1" s="19" t="s">
        <v>102</v>
      </c>
      <c r="B1" s="19">
        <v>2025</v>
      </c>
      <c r="C1" s="19">
        <v>2026</v>
      </c>
      <c r="D1" s="19">
        <v>2027</v>
      </c>
      <c r="E1" s="19">
        <v>2028</v>
      </c>
      <c r="F1" s="19">
        <v>2029</v>
      </c>
      <c r="G1" s="19">
        <v>2030</v>
      </c>
      <c r="H1" s="19">
        <v>2031</v>
      </c>
      <c r="I1" s="19">
        <v>2032</v>
      </c>
      <c r="J1" s="19">
        <v>2033</v>
      </c>
      <c r="K1" s="19">
        <v>2034</v>
      </c>
      <c r="L1" s="19">
        <v>2035</v>
      </c>
      <c r="M1" s="19">
        <v>2036</v>
      </c>
      <c r="N1" s="19">
        <v>2037</v>
      </c>
    </row>
    <row r="2" spans="1:20" x14ac:dyDescent="0.25">
      <c r="A2" s="19" t="s">
        <v>103</v>
      </c>
      <c r="B2" s="2" t="s">
        <v>104</v>
      </c>
      <c r="C2" s="2" t="s">
        <v>104</v>
      </c>
      <c r="D2" s="2">
        <v>131.7255690077547</v>
      </c>
      <c r="E2" s="2">
        <v>139.21202135193269</v>
      </c>
      <c r="F2" s="2">
        <v>294.21963087382358</v>
      </c>
      <c r="G2" s="2">
        <v>466.32304497541111</v>
      </c>
      <c r="H2" s="2">
        <v>648.46150961662784</v>
      </c>
      <c r="I2" s="2">
        <v>826.97757774511865</v>
      </c>
      <c r="J2" s="2">
        <v>1012.7101057714626</v>
      </c>
      <c r="K2" s="2">
        <v>1206.0177026211438</v>
      </c>
      <c r="L2" s="2">
        <v>1406.2791831090183</v>
      </c>
      <c r="M2" s="2">
        <v>1614.5945863112779</v>
      </c>
      <c r="N2" s="2">
        <v>1831.36488756375</v>
      </c>
    </row>
    <row r="3" spans="1:20" x14ac:dyDescent="0.25">
      <c r="A3" s="19" t="s">
        <v>105</v>
      </c>
      <c r="B3" s="2" t="s">
        <v>104</v>
      </c>
      <c r="C3" s="2" t="s">
        <v>104</v>
      </c>
      <c r="D3" s="2">
        <v>3057.1176847494412</v>
      </c>
      <c r="E3" s="2">
        <v>3520.6761345758796</v>
      </c>
      <c r="F3" s="2">
        <v>3999.4346573857401</v>
      </c>
      <c r="G3" s="2">
        <v>4493.8048787392754</v>
      </c>
      <c r="H3" s="2">
        <v>4779.5767407192607</v>
      </c>
      <c r="I3" s="2">
        <v>5066.956340464083</v>
      </c>
      <c r="J3" s="2">
        <v>5352.9930022722392</v>
      </c>
      <c r="K3" s="2">
        <v>5637.4560997813369</v>
      </c>
      <c r="L3" s="2">
        <v>5908.9138191487091</v>
      </c>
      <c r="M3" s="2">
        <v>6834.9055184245653</v>
      </c>
      <c r="N3" s="2">
        <v>7758.2168064227244</v>
      </c>
    </row>
    <row r="4" spans="1:20" x14ac:dyDescent="0.25">
      <c r="A4" s="19" t="s">
        <v>27</v>
      </c>
      <c r="B4" s="2" t="s">
        <v>104</v>
      </c>
      <c r="C4" s="2" t="s">
        <v>104</v>
      </c>
      <c r="D4" s="2">
        <v>3188.8432537571957</v>
      </c>
      <c r="E4" s="2">
        <v>3659.8881559278125</v>
      </c>
      <c r="F4" s="2">
        <v>4293.6542882595641</v>
      </c>
      <c r="G4" s="2">
        <v>4960.1279237146864</v>
      </c>
      <c r="H4" s="2">
        <v>5428.0382503358887</v>
      </c>
      <c r="I4" s="2">
        <v>5893.9339182092017</v>
      </c>
      <c r="J4" s="2">
        <v>6365.7031080437018</v>
      </c>
      <c r="K4" s="2">
        <v>6843.4738024024809</v>
      </c>
      <c r="L4" s="2">
        <v>7315.1930022577271</v>
      </c>
      <c r="M4" s="2">
        <v>8449.5001047358437</v>
      </c>
      <c r="N4" s="2">
        <v>9589.5816939864744</v>
      </c>
    </row>
    <row r="6" spans="1:20" x14ac:dyDescent="0.25">
      <c r="A6" t="s">
        <v>108</v>
      </c>
      <c r="B6" t="s">
        <v>169</v>
      </c>
      <c r="C6" t="s">
        <v>170</v>
      </c>
      <c r="D6">
        <v>3</v>
      </c>
      <c r="M6" t="s">
        <v>109</v>
      </c>
    </row>
    <row r="7" spans="1:20" x14ac:dyDescent="0.25">
      <c r="A7" s="104" t="s">
        <v>106</v>
      </c>
      <c r="B7" s="121">
        <v>6.6</v>
      </c>
      <c r="C7" s="121">
        <v>6.6</v>
      </c>
      <c r="D7" s="121">
        <v>6.6</v>
      </c>
      <c r="E7" s="121">
        <v>6.6</v>
      </c>
      <c r="F7" s="121">
        <v>6.6</v>
      </c>
      <c r="G7" s="121">
        <v>6.6</v>
      </c>
      <c r="H7" s="121">
        <v>6.6</v>
      </c>
      <c r="I7" s="121">
        <v>6.6</v>
      </c>
      <c r="J7" s="121">
        <v>6.6</v>
      </c>
      <c r="M7">
        <f xml:space="preserve"> B7-B8</f>
        <v>2.5999999999999996</v>
      </c>
    </row>
    <row r="8" spans="1:20" x14ac:dyDescent="0.25">
      <c r="A8" s="104" t="s">
        <v>107</v>
      </c>
      <c r="B8" s="121">
        <v>4</v>
      </c>
      <c r="C8" s="121">
        <v>4</v>
      </c>
      <c r="D8" s="121">
        <v>4</v>
      </c>
      <c r="E8" s="121">
        <v>4</v>
      </c>
      <c r="F8" s="121">
        <v>4</v>
      </c>
      <c r="G8" s="121">
        <v>4</v>
      </c>
      <c r="H8" s="121">
        <v>4</v>
      </c>
      <c r="I8" s="121">
        <v>4</v>
      </c>
      <c r="J8" s="121">
        <v>4</v>
      </c>
    </row>
    <row r="10" spans="1:20" x14ac:dyDescent="0.25">
      <c r="A10" s="108" t="s">
        <v>121</v>
      </c>
      <c r="B10" s="109">
        <f>B7/B8-1</f>
        <v>0.64999999999999991</v>
      </c>
      <c r="C10" s="109">
        <f>C7/C8-1</f>
        <v>0.64999999999999991</v>
      </c>
      <c r="D10" s="109">
        <f>D7/D8-1</f>
        <v>0.64999999999999991</v>
      </c>
      <c r="E10" s="109">
        <f t="shared" ref="E10:J10" si="0">E7/E8-1</f>
        <v>0.64999999999999991</v>
      </c>
      <c r="F10" s="109">
        <f t="shared" si="0"/>
        <v>0.64999999999999991</v>
      </c>
      <c r="G10" s="109">
        <f t="shared" si="0"/>
        <v>0.64999999999999991</v>
      </c>
      <c r="H10" s="109">
        <f t="shared" si="0"/>
        <v>0.64999999999999991</v>
      </c>
      <c r="I10" s="109">
        <f t="shared" si="0"/>
        <v>0.64999999999999991</v>
      </c>
      <c r="J10" s="109">
        <f t="shared" si="0"/>
        <v>0.64999999999999991</v>
      </c>
      <c r="L10" t="s">
        <v>122</v>
      </c>
      <c r="T10" s="108" t="s">
        <v>114</v>
      </c>
    </row>
    <row r="11" spans="1:20" x14ac:dyDescent="0.25">
      <c r="T11" s="107" t="s">
        <v>115</v>
      </c>
    </row>
    <row r="12" spans="1:20" x14ac:dyDescent="0.25">
      <c r="A12" s="42" t="s">
        <v>112</v>
      </c>
      <c r="B12" s="119">
        <v>0.11</v>
      </c>
      <c r="C12" s="119">
        <v>0.41570000000000001</v>
      </c>
      <c r="D12" s="119">
        <v>0.30980000000000002</v>
      </c>
      <c r="E12" s="119">
        <v>0.13730000000000001</v>
      </c>
      <c r="F12" s="119"/>
      <c r="G12" s="119"/>
      <c r="H12" s="119"/>
      <c r="I12" s="119"/>
      <c r="J12" s="119"/>
      <c r="L12" s="42" t="s">
        <v>113</v>
      </c>
      <c r="T12" s="111" t="s">
        <v>116</v>
      </c>
    </row>
    <row r="13" spans="1:20" x14ac:dyDescent="0.25">
      <c r="T13" s="110" t="s">
        <v>117</v>
      </c>
    </row>
    <row r="14" spans="1:20" x14ac:dyDescent="0.25">
      <c r="A14" t="s">
        <v>123</v>
      </c>
      <c r="B14" s="105">
        <f>B10*B12</f>
        <v>7.1499999999999994E-2</v>
      </c>
      <c r="C14" s="105">
        <f>C10*C12</f>
        <v>0.27020499999999997</v>
      </c>
      <c r="D14" s="105">
        <f>D10*D12</f>
        <v>0.20136999999999999</v>
      </c>
      <c r="E14" s="105">
        <f t="shared" ref="E14:J14" si="1">E10*E12</f>
        <v>8.9244999999999991E-2</v>
      </c>
      <c r="F14" s="105">
        <f t="shared" si="1"/>
        <v>0</v>
      </c>
      <c r="G14" s="105">
        <f t="shared" si="1"/>
        <v>0</v>
      </c>
      <c r="H14" s="105">
        <f t="shared" si="1"/>
        <v>0</v>
      </c>
      <c r="I14" s="105">
        <f t="shared" si="1"/>
        <v>0</v>
      </c>
      <c r="J14" s="105">
        <f t="shared" si="1"/>
        <v>0</v>
      </c>
      <c r="T14" s="112" t="s">
        <v>118</v>
      </c>
    </row>
    <row r="15" spans="1:20" x14ac:dyDescent="0.25">
      <c r="T15" t="s">
        <v>119</v>
      </c>
    </row>
    <row r="16" spans="1:20" x14ac:dyDescent="0.25">
      <c r="A16" t="s">
        <v>110</v>
      </c>
      <c r="B16" s="103">
        <v>0.3</v>
      </c>
      <c r="C16" s="103">
        <v>0.3</v>
      </c>
      <c r="D16" s="103">
        <v>0.3</v>
      </c>
      <c r="E16" s="103">
        <v>0.3</v>
      </c>
      <c r="F16" s="103">
        <v>0.3</v>
      </c>
      <c r="G16" s="103">
        <v>0.3</v>
      </c>
      <c r="H16" s="103">
        <v>0.3</v>
      </c>
      <c r="I16" s="103">
        <v>0.3</v>
      </c>
      <c r="J16" s="103">
        <v>0.3</v>
      </c>
      <c r="T16" t="s">
        <v>120</v>
      </c>
    </row>
    <row r="18" spans="1:12" x14ac:dyDescent="0.25">
      <c r="A18" s="107" t="s">
        <v>111</v>
      </c>
      <c r="B18" s="131">
        <f>B14*B16</f>
        <v>2.1449999999999997E-2</v>
      </c>
      <c r="C18" s="131">
        <f>C14*C16</f>
        <v>8.1061499999999995E-2</v>
      </c>
      <c r="D18" s="131">
        <f>D14*D16</f>
        <v>6.0410999999999992E-2</v>
      </c>
      <c r="E18" s="131">
        <f t="shared" ref="E18:J18" si="2">E14*E16</f>
        <v>2.6773499999999995E-2</v>
      </c>
      <c r="F18" s="131">
        <f t="shared" si="2"/>
        <v>0</v>
      </c>
      <c r="G18" s="131">
        <f t="shared" si="2"/>
        <v>0</v>
      </c>
      <c r="H18" s="131">
        <f t="shared" si="2"/>
        <v>0</v>
      </c>
      <c r="I18" s="131">
        <f t="shared" si="2"/>
        <v>0</v>
      </c>
      <c r="J18" s="131">
        <f t="shared" si="2"/>
        <v>0</v>
      </c>
    </row>
    <row r="20" spans="1:12" x14ac:dyDescent="0.25">
      <c r="A20" s="111" t="s">
        <v>124</v>
      </c>
      <c r="B20" s="110">
        <v>-1.29</v>
      </c>
      <c r="C20" s="110">
        <v>-1.29</v>
      </c>
      <c r="D20" s="110">
        <v>-1.29</v>
      </c>
      <c r="E20" s="110">
        <v>-1.29</v>
      </c>
      <c r="F20" s="110">
        <v>-1.29</v>
      </c>
      <c r="G20" s="110">
        <v>-1.29</v>
      </c>
      <c r="H20" s="110">
        <v>-1.29</v>
      </c>
      <c r="I20" s="110">
        <v>-1.29</v>
      </c>
      <c r="J20" s="110">
        <v>-1.29</v>
      </c>
      <c r="L20" t="s">
        <v>125</v>
      </c>
    </row>
    <row r="21" spans="1:12" x14ac:dyDescent="0.25">
      <c r="A21" s="111"/>
      <c r="B21" s="111">
        <v>-1.47</v>
      </c>
      <c r="C21" s="111">
        <v>-1.47</v>
      </c>
      <c r="D21" s="111">
        <v>-1.47</v>
      </c>
      <c r="E21" s="111">
        <v>-1.47</v>
      </c>
      <c r="F21" s="111">
        <v>-1.47</v>
      </c>
      <c r="G21" s="111">
        <v>-1.47</v>
      </c>
      <c r="H21" s="111">
        <v>-1.47</v>
      </c>
      <c r="I21" s="111">
        <v>-1.47</v>
      </c>
      <c r="J21" s="111">
        <v>-1.47</v>
      </c>
    </row>
    <row r="22" spans="1:12" x14ac:dyDescent="0.25">
      <c r="A22" s="111"/>
      <c r="B22" s="111">
        <v>-1.59</v>
      </c>
      <c r="C22" s="111">
        <v>-1.59</v>
      </c>
      <c r="D22" s="111">
        <v>-1.59</v>
      </c>
      <c r="E22" s="111">
        <v>-1.59</v>
      </c>
      <c r="F22" s="111">
        <v>-1.59</v>
      </c>
      <c r="G22" s="111">
        <v>-1.59</v>
      </c>
      <c r="H22" s="111">
        <v>-1.59</v>
      </c>
      <c r="I22" s="111">
        <v>-1.59</v>
      </c>
      <c r="J22" s="111">
        <v>-1.59</v>
      </c>
    </row>
    <row r="24" spans="1:12" x14ac:dyDescent="0.25">
      <c r="A24" t="s">
        <v>126</v>
      </c>
      <c r="B24" t="s">
        <v>127</v>
      </c>
      <c r="L24" t="s">
        <v>128</v>
      </c>
    </row>
    <row r="25" spans="1:12" x14ac:dyDescent="0.25">
      <c r="A25" t="s">
        <v>129</v>
      </c>
      <c r="B25" t="s">
        <v>130</v>
      </c>
    </row>
    <row r="26" spans="1:12" x14ac:dyDescent="0.25">
      <c r="A26" t="s">
        <v>131</v>
      </c>
      <c r="B26" t="s">
        <v>132</v>
      </c>
    </row>
    <row r="27" spans="1:12" x14ac:dyDescent="0.25">
      <c r="A27" t="s">
        <v>134</v>
      </c>
      <c r="B27" t="s">
        <v>133</v>
      </c>
    </row>
    <row r="29" spans="1:12" s="32" customFormat="1" ht="105" x14ac:dyDescent="0.25">
      <c r="A29" s="32" t="s">
        <v>135</v>
      </c>
      <c r="B29" s="32" t="s">
        <v>136</v>
      </c>
      <c r="C29" s="32" t="s">
        <v>136</v>
      </c>
      <c r="D29" s="32" t="s">
        <v>136</v>
      </c>
      <c r="E29" s="32" t="s">
        <v>171</v>
      </c>
      <c r="F29" s="32" t="s">
        <v>172</v>
      </c>
      <c r="G29" s="32" t="s">
        <v>173</v>
      </c>
      <c r="H29" s="32" t="s">
        <v>174</v>
      </c>
      <c r="I29" s="32" t="s">
        <v>175</v>
      </c>
      <c r="J29" s="32" t="s">
        <v>176</v>
      </c>
    </row>
    <row r="30" spans="1:12" x14ac:dyDescent="0.25">
      <c r="B30" s="106">
        <f>B18</f>
        <v>2.1449999999999997E-2</v>
      </c>
      <c r="C30" s="106">
        <f>C18</f>
        <v>8.1061499999999995E-2</v>
      </c>
      <c r="D30" s="106">
        <f>D18</f>
        <v>6.0410999999999992E-2</v>
      </c>
      <c r="E30" s="106">
        <f t="shared" ref="E30:J30" si="3">E18</f>
        <v>2.6773499999999995E-2</v>
      </c>
      <c r="F30" s="106">
        <f t="shared" si="3"/>
        <v>0</v>
      </c>
      <c r="G30" s="106">
        <f t="shared" si="3"/>
        <v>0</v>
      </c>
      <c r="H30" s="106">
        <f t="shared" si="3"/>
        <v>0</v>
      </c>
      <c r="I30" s="106">
        <f t="shared" si="3"/>
        <v>0</v>
      </c>
      <c r="J30" s="106">
        <f t="shared" si="3"/>
        <v>0</v>
      </c>
    </row>
    <row r="32" spans="1:12" x14ac:dyDescent="0.25">
      <c r="A32" t="s">
        <v>137</v>
      </c>
      <c r="B32" t="s">
        <v>138</v>
      </c>
    </row>
    <row r="34" spans="1:28" x14ac:dyDescent="0.25">
      <c r="A34" s="111" t="s">
        <v>137</v>
      </c>
      <c r="B34" s="133">
        <f>B20*B$30</f>
        <v>-2.7670499999999997E-2</v>
      </c>
      <c r="C34" s="133">
        <f t="shared" ref="C34:J36" si="4">C20*C$30</f>
        <v>-0.104569335</v>
      </c>
      <c r="D34" s="133">
        <f t="shared" si="4"/>
        <v>-7.7930189999999996E-2</v>
      </c>
      <c r="E34" s="133">
        <f t="shared" si="4"/>
        <v>-3.4537814999999993E-2</v>
      </c>
      <c r="F34" s="133">
        <f t="shared" si="4"/>
        <v>0</v>
      </c>
      <c r="G34" s="133">
        <f t="shared" si="4"/>
        <v>0</v>
      </c>
      <c r="H34" s="133">
        <f t="shared" si="4"/>
        <v>0</v>
      </c>
      <c r="I34" s="133">
        <f t="shared" si="4"/>
        <v>0</v>
      </c>
      <c r="J34" s="133">
        <f t="shared" si="4"/>
        <v>0</v>
      </c>
    </row>
    <row r="35" spans="1:28" x14ac:dyDescent="0.25">
      <c r="A35" s="111"/>
      <c r="B35" s="142">
        <f t="shared" ref="B35:D36" si="5">B21*B$30</f>
        <v>-3.1531499999999997E-2</v>
      </c>
      <c r="C35" s="142">
        <f t="shared" si="5"/>
        <v>-0.11916040499999998</v>
      </c>
      <c r="D35" s="142">
        <f t="shared" si="5"/>
        <v>-8.8804169999999988E-2</v>
      </c>
      <c r="E35" s="142">
        <f t="shared" si="4"/>
        <v>-3.9357044999999993E-2</v>
      </c>
      <c r="F35" s="142">
        <f t="shared" si="4"/>
        <v>0</v>
      </c>
      <c r="G35" s="142">
        <f t="shared" si="4"/>
        <v>0</v>
      </c>
      <c r="H35" s="142">
        <f t="shared" si="4"/>
        <v>0</v>
      </c>
      <c r="I35" s="142">
        <f t="shared" si="4"/>
        <v>0</v>
      </c>
      <c r="J35" s="142">
        <f t="shared" si="4"/>
        <v>0</v>
      </c>
    </row>
    <row r="36" spans="1:28" x14ac:dyDescent="0.25">
      <c r="A36" s="111"/>
      <c r="B36" s="142">
        <f t="shared" si="5"/>
        <v>-3.4105499999999997E-2</v>
      </c>
      <c r="C36" s="142">
        <f t="shared" si="5"/>
        <v>-0.128887785</v>
      </c>
      <c r="D36" s="142">
        <f t="shared" si="5"/>
        <v>-9.6053489999999991E-2</v>
      </c>
      <c r="E36" s="142">
        <f t="shared" si="4"/>
        <v>-4.2569864999999991E-2</v>
      </c>
      <c r="F36" s="142">
        <f t="shared" si="4"/>
        <v>0</v>
      </c>
      <c r="G36" s="142">
        <f t="shared" si="4"/>
        <v>0</v>
      </c>
      <c r="H36" s="142">
        <f t="shared" si="4"/>
        <v>0</v>
      </c>
      <c r="I36" s="142">
        <f t="shared" si="4"/>
        <v>0</v>
      </c>
      <c r="J36" s="142">
        <f t="shared" si="4"/>
        <v>0</v>
      </c>
      <c r="AB36" s="129" t="s">
        <v>161</v>
      </c>
    </row>
    <row r="38" spans="1:28" x14ac:dyDescent="0.25">
      <c r="A38" t="s">
        <v>139</v>
      </c>
      <c r="B38" t="s">
        <v>140</v>
      </c>
    </row>
    <row r="39" spans="1:28" x14ac:dyDescent="0.25">
      <c r="A39">
        <v>2030</v>
      </c>
    </row>
    <row r="40" spans="1:28" x14ac:dyDescent="0.25">
      <c r="A40">
        <v>2040</v>
      </c>
      <c r="AA40" s="115" t="s">
        <v>147</v>
      </c>
      <c r="AB40" s="32" t="s">
        <v>147</v>
      </c>
    </row>
    <row r="41" spans="1:28" x14ac:dyDescent="0.25">
      <c r="A41">
        <v>2050</v>
      </c>
      <c r="AA41" s="115" t="s">
        <v>12</v>
      </c>
      <c r="AB41" s="32"/>
    </row>
    <row r="43" spans="1:28" x14ac:dyDescent="0.25">
      <c r="B43" s="121" t="s">
        <v>166</v>
      </c>
      <c r="F43" s="121" t="s">
        <v>167</v>
      </c>
    </row>
    <row r="44" spans="1:28" x14ac:dyDescent="0.25">
      <c r="A44" s="121"/>
      <c r="B44" t="s">
        <v>177</v>
      </c>
      <c r="C44" s="121"/>
      <c r="D44" s="121"/>
      <c r="E44" s="121"/>
      <c r="F44" s="42">
        <v>2019</v>
      </c>
      <c r="J44" t="s">
        <v>142</v>
      </c>
      <c r="M44" t="s">
        <v>160</v>
      </c>
    </row>
    <row r="45" spans="1:28" ht="75" x14ac:dyDescent="0.25">
      <c r="A45" s="139" t="s">
        <v>165</v>
      </c>
      <c r="B45" s="137" t="s">
        <v>124</v>
      </c>
      <c r="C45" s="138" t="s">
        <v>137</v>
      </c>
      <c r="D45" s="139" t="s">
        <v>164</v>
      </c>
      <c r="E45" s="140" t="s">
        <v>162</v>
      </c>
      <c r="F45" s="116" t="s">
        <v>150</v>
      </c>
      <c r="G45" s="116" t="s">
        <v>156</v>
      </c>
      <c r="H45" s="116" t="s">
        <v>152</v>
      </c>
      <c r="I45" s="116" t="s">
        <v>153</v>
      </c>
      <c r="J45" s="116" t="s">
        <v>151</v>
      </c>
      <c r="K45" s="116" t="s">
        <v>156</v>
      </c>
      <c r="L45" s="116" t="s">
        <v>155</v>
      </c>
      <c r="M45" s="116" t="s">
        <v>154</v>
      </c>
      <c r="N45" s="116" t="s">
        <v>157</v>
      </c>
      <c r="O45" s="116" t="s">
        <v>159</v>
      </c>
      <c r="P45" s="116" t="s">
        <v>158</v>
      </c>
      <c r="Q45" s="116" t="s">
        <v>143</v>
      </c>
      <c r="R45" s="116" t="s">
        <v>145</v>
      </c>
      <c r="S45" s="116" t="s">
        <v>146</v>
      </c>
      <c r="T45" s="116" t="s">
        <v>148</v>
      </c>
    </row>
    <row r="46" spans="1:28" x14ac:dyDescent="0.25">
      <c r="A46" s="136">
        <v>0.11</v>
      </c>
      <c r="B46" s="121">
        <v>-1.29</v>
      </c>
      <c r="C46" s="136">
        <v>-2.7699999999999999E-2</v>
      </c>
      <c r="D46" s="136">
        <f>T47</f>
        <v>0.12443551191660115</v>
      </c>
      <c r="E46" s="121"/>
      <c r="F46" s="117" t="s">
        <v>12</v>
      </c>
      <c r="G46" s="117" t="s">
        <v>141</v>
      </c>
      <c r="H46" s="117" t="s">
        <v>147</v>
      </c>
      <c r="I46" s="42"/>
      <c r="J46" s="117" t="s">
        <v>12</v>
      </c>
      <c r="K46" s="117" t="s">
        <v>141</v>
      </c>
      <c r="L46" s="117" t="s">
        <v>147</v>
      </c>
      <c r="M46" s="117" t="s">
        <v>144</v>
      </c>
      <c r="N46" s="117" t="s">
        <v>147</v>
      </c>
      <c r="O46" s="117" t="s">
        <v>147</v>
      </c>
      <c r="P46" s="117" t="s">
        <v>147</v>
      </c>
      <c r="Q46" s="117" t="s">
        <v>141</v>
      </c>
      <c r="R46" s="117" t="s">
        <v>141</v>
      </c>
      <c r="S46" s="117" t="s">
        <v>12</v>
      </c>
      <c r="T46" s="117" t="s">
        <v>149</v>
      </c>
    </row>
    <row r="47" spans="1:28" x14ac:dyDescent="0.25">
      <c r="F47" s="118">
        <f>'Potencial energético'!D23</f>
        <v>271702273084</v>
      </c>
      <c r="G47" s="42">
        <v>89</v>
      </c>
      <c r="H47" s="118">
        <f>F47*G47</f>
        <v>24181502304476</v>
      </c>
      <c r="I47" s="110">
        <v>2030</v>
      </c>
      <c r="J47" s="118">
        <f>'Potencial energético'!D34</f>
        <v>285677140363.21271</v>
      </c>
      <c r="K47" s="42">
        <v>89</v>
      </c>
      <c r="L47" s="118">
        <f>J47*K47</f>
        <v>25425265492325.93</v>
      </c>
      <c r="M47" s="127">
        <v>0.05</v>
      </c>
      <c r="N47" s="118">
        <f>H47*M47</f>
        <v>1209075115223.8</v>
      </c>
      <c r="O47" s="118">
        <f>L47-H47</f>
        <v>1243763187849.9297</v>
      </c>
      <c r="P47" s="118">
        <f>O47+N47</f>
        <v>2452838303073.7295</v>
      </c>
      <c r="Q47" s="128">
        <v>20</v>
      </c>
      <c r="R47" s="42">
        <f>K47-Q47</f>
        <v>69</v>
      </c>
      <c r="S47" s="118">
        <f>P47/R47</f>
        <v>35548381203.967094</v>
      </c>
      <c r="T47" s="119">
        <f>S47/J47</f>
        <v>0.12443551191660115</v>
      </c>
    </row>
    <row r="48" spans="1:28" x14ac:dyDescent="0.25">
      <c r="F48" s="118">
        <f>F47</f>
        <v>271702273084</v>
      </c>
      <c r="G48" s="42">
        <v>89</v>
      </c>
      <c r="H48" s="42">
        <f t="shared" ref="H48:H49" si="6">F48*G48</f>
        <v>24181502304476</v>
      </c>
      <c r="I48" s="110">
        <v>2040</v>
      </c>
      <c r="J48" s="118">
        <f>'Potencial energético'!D44</f>
        <v>320711001789.5235</v>
      </c>
      <c r="K48" s="42">
        <v>89</v>
      </c>
      <c r="L48" s="118">
        <f t="shared" ref="L48:L49" si="7">J48*K48</f>
        <v>28543279159267.59</v>
      </c>
      <c r="M48" s="127">
        <v>0.2</v>
      </c>
      <c r="N48" s="118">
        <f>H48*M48</f>
        <v>4836300460895.2002</v>
      </c>
      <c r="O48" s="118">
        <f t="shared" ref="O48:O49" si="8">L48-H48</f>
        <v>4361776854791.5898</v>
      </c>
      <c r="P48" s="118">
        <f>O48+N48</f>
        <v>9198077315686.7891</v>
      </c>
      <c r="Q48" s="128">
        <v>20</v>
      </c>
      <c r="R48" s="42">
        <f>K48-Q48</f>
        <v>69</v>
      </c>
      <c r="S48" s="118">
        <f>P48/R48</f>
        <v>133305468343.2868</v>
      </c>
      <c r="T48" s="119">
        <f>S48/J48</f>
        <v>0.41565605046119569</v>
      </c>
    </row>
    <row r="49" spans="1:20" x14ac:dyDescent="0.25">
      <c r="F49" s="118">
        <f>F48</f>
        <v>271702273084</v>
      </c>
      <c r="G49" s="42">
        <v>89</v>
      </c>
      <c r="H49" s="42">
        <f t="shared" si="6"/>
        <v>24181502304476</v>
      </c>
      <c r="I49" s="110">
        <v>2050</v>
      </c>
      <c r="J49" s="118">
        <f>'Potencial energético'!D54</f>
        <v>360041221842.48999</v>
      </c>
      <c r="K49" s="42">
        <v>89</v>
      </c>
      <c r="L49" s="118">
        <f t="shared" si="7"/>
        <v>32043668743981.609</v>
      </c>
      <c r="M49" s="127">
        <v>0.3</v>
      </c>
      <c r="N49" s="118">
        <f>H49*M49</f>
        <v>7254450691342.7998</v>
      </c>
      <c r="O49" s="118">
        <f t="shared" si="8"/>
        <v>7862166439505.6094</v>
      </c>
      <c r="P49" s="118">
        <f>O49+N49</f>
        <v>15116617130848.41</v>
      </c>
      <c r="Q49" s="128">
        <v>20</v>
      </c>
      <c r="R49" s="42">
        <f>K49-Q49</f>
        <v>69</v>
      </c>
      <c r="S49" s="118">
        <f t="shared" ref="S49" si="9">P49/R49</f>
        <v>219081407693.45523</v>
      </c>
      <c r="T49" s="119">
        <f>S49/J49</f>
        <v>0.60848979061985986</v>
      </c>
    </row>
    <row r="51" spans="1:20" x14ac:dyDescent="0.25">
      <c r="F51" s="42">
        <v>2019</v>
      </c>
      <c r="J51" t="s">
        <v>142</v>
      </c>
      <c r="M51" t="s">
        <v>160</v>
      </c>
    </row>
    <row r="52" spans="1:20" ht="75" x14ac:dyDescent="0.25">
      <c r="A52" s="116" t="s">
        <v>165</v>
      </c>
      <c r="B52" s="134" t="s">
        <v>124</v>
      </c>
      <c r="C52" s="135" t="s">
        <v>137</v>
      </c>
      <c r="D52" s="139" t="s">
        <v>164</v>
      </c>
      <c r="E52" s="130" t="s">
        <v>163</v>
      </c>
      <c r="F52" s="116" t="s">
        <v>150</v>
      </c>
      <c r="G52" s="116" t="s">
        <v>156</v>
      </c>
      <c r="H52" s="116" t="s">
        <v>152</v>
      </c>
      <c r="I52" s="116" t="s">
        <v>153</v>
      </c>
      <c r="J52" s="116" t="s">
        <v>151</v>
      </c>
      <c r="K52" s="116" t="s">
        <v>156</v>
      </c>
      <c r="L52" s="116" t="s">
        <v>155</v>
      </c>
      <c r="M52" s="116" t="s">
        <v>154</v>
      </c>
      <c r="N52" s="116" t="s">
        <v>157</v>
      </c>
      <c r="O52" s="116" t="s">
        <v>159</v>
      </c>
      <c r="P52" s="116" t="s">
        <v>158</v>
      </c>
      <c r="Q52" s="116" t="s">
        <v>143</v>
      </c>
      <c r="R52" s="116" t="s">
        <v>145</v>
      </c>
      <c r="S52" s="116" t="s">
        <v>146</v>
      </c>
      <c r="T52" s="116" t="s">
        <v>148</v>
      </c>
    </row>
    <row r="53" spans="1:20" x14ac:dyDescent="0.25">
      <c r="A53" s="132">
        <v>0.41570000000000001</v>
      </c>
      <c r="B53">
        <v>-1.29</v>
      </c>
      <c r="C53" s="132">
        <v>-0.1046</v>
      </c>
      <c r="D53" s="136">
        <f>T54</f>
        <v>-1.672855134078359E-2</v>
      </c>
      <c r="F53" s="117" t="s">
        <v>12</v>
      </c>
      <c r="G53" s="117" t="s">
        <v>141</v>
      </c>
      <c r="H53" s="117" t="s">
        <v>147</v>
      </c>
      <c r="I53" s="42"/>
      <c r="J53" s="117" t="s">
        <v>12</v>
      </c>
      <c r="K53" s="117" t="s">
        <v>141</v>
      </c>
      <c r="L53" s="117" t="s">
        <v>147</v>
      </c>
      <c r="M53" s="117" t="s">
        <v>144</v>
      </c>
      <c r="N53" s="117" t="s">
        <v>147</v>
      </c>
      <c r="O53" s="117" t="s">
        <v>147</v>
      </c>
      <c r="P53" s="117" t="s">
        <v>147</v>
      </c>
      <c r="Q53" s="117" t="s">
        <v>141</v>
      </c>
      <c r="R53" s="117" t="s">
        <v>141</v>
      </c>
      <c r="S53" s="117" t="s">
        <v>12</v>
      </c>
      <c r="T53" s="117" t="s">
        <v>149</v>
      </c>
    </row>
    <row r="54" spans="1:20" x14ac:dyDescent="0.25">
      <c r="F54" s="118">
        <f>'Potencial energético'!D30</f>
        <v>272759661317.48117</v>
      </c>
      <c r="G54" s="42">
        <v>89</v>
      </c>
      <c r="H54" s="118">
        <f>F54*G54</f>
        <v>24275609857255.824</v>
      </c>
      <c r="I54" s="110">
        <v>2030</v>
      </c>
      <c r="J54" s="118">
        <f>J47*(100%+$C$34)</f>
        <v>255804071770.72989</v>
      </c>
      <c r="K54" s="42">
        <v>89</v>
      </c>
      <c r="L54" s="118">
        <f>J54*K54</f>
        <v>22766562387594.961</v>
      </c>
      <c r="M54" s="127">
        <v>0.05</v>
      </c>
      <c r="N54" s="118">
        <f>H54*M54</f>
        <v>1213780492862.7913</v>
      </c>
      <c r="O54" s="118">
        <f>L54-H54</f>
        <v>-1509047469660.8633</v>
      </c>
      <c r="P54" s="118">
        <f>O54+N54</f>
        <v>-295266976798.07202</v>
      </c>
      <c r="Q54" s="128">
        <v>20</v>
      </c>
      <c r="R54" s="42">
        <f>K54-Q54</f>
        <v>69</v>
      </c>
      <c r="S54" s="118">
        <f>P54/R54</f>
        <v>-4279231547.7981453</v>
      </c>
      <c r="T54" s="119">
        <f>S54/J54</f>
        <v>-1.672855134078359E-2</v>
      </c>
    </row>
    <row r="55" spans="1:20" x14ac:dyDescent="0.25">
      <c r="F55" s="118">
        <f>F54</f>
        <v>272759661317.48117</v>
      </c>
      <c r="G55" s="42">
        <v>89</v>
      </c>
      <c r="H55" s="42">
        <f t="shared" ref="H55:H56" si="10">F55*G55</f>
        <v>24275609857255.824</v>
      </c>
      <c r="I55" s="110">
        <v>2040</v>
      </c>
      <c r="J55" s="118">
        <f>J48*(100%+$C$34)</f>
        <v>287174465605.20923</v>
      </c>
      <c r="K55" s="42">
        <v>89</v>
      </c>
      <c r="L55" s="118">
        <f>J55*K55</f>
        <v>25558527438863.621</v>
      </c>
      <c r="M55" s="127">
        <v>0.2</v>
      </c>
      <c r="N55" s="118">
        <f>H55*M55</f>
        <v>4855121971451.165</v>
      </c>
      <c r="O55" s="118">
        <f t="shared" ref="O55:O56" si="11">L55-H55</f>
        <v>1282917581607.7969</v>
      </c>
      <c r="P55" s="118">
        <f>O55+N55</f>
        <v>6138039553058.9619</v>
      </c>
      <c r="Q55" s="128">
        <v>20</v>
      </c>
      <c r="R55" s="42">
        <f>K55-Q55</f>
        <v>69</v>
      </c>
      <c r="S55" s="118">
        <f>P55/R55</f>
        <v>88957094971.869019</v>
      </c>
      <c r="T55" s="119">
        <f>S55/J55</f>
        <v>0.30976672937963107</v>
      </c>
    </row>
    <row r="56" spans="1:20" x14ac:dyDescent="0.25">
      <c r="F56" s="118">
        <f>F55</f>
        <v>272759661317.48117</v>
      </c>
      <c r="G56" s="42">
        <v>89</v>
      </c>
      <c r="H56" s="42">
        <f t="shared" si="10"/>
        <v>24275609857255.824</v>
      </c>
      <c r="I56" s="110">
        <v>2050</v>
      </c>
      <c r="J56" s="118">
        <f t="shared" ref="J56" si="12">J49*(100%+$C$34)</f>
        <v>322391950701.83331</v>
      </c>
      <c r="K56" s="42">
        <v>89</v>
      </c>
      <c r="L56" s="118">
        <f>J56*K56</f>
        <v>28692883612463.164</v>
      </c>
      <c r="M56" s="127">
        <v>0.3</v>
      </c>
      <c r="N56" s="118">
        <f>H56*M56</f>
        <v>7282682957176.7471</v>
      </c>
      <c r="O56" s="118">
        <f t="shared" si="11"/>
        <v>4417273755207.3398</v>
      </c>
      <c r="P56" s="118">
        <f>O56+N56</f>
        <v>11699956712384.086</v>
      </c>
      <c r="Q56" s="128">
        <v>20</v>
      </c>
      <c r="R56" s="42">
        <f>K56-Q56</f>
        <v>69</v>
      </c>
      <c r="S56" s="118">
        <f t="shared" ref="S56" si="13">P56/R56</f>
        <v>169564590034.55197</v>
      </c>
      <c r="T56" s="119">
        <f>S56/J56</f>
        <v>0.52595788966013945</v>
      </c>
    </row>
    <row r="57" spans="1:20" x14ac:dyDescent="0.25">
      <c r="J57" s="32"/>
      <c r="K57" s="32"/>
      <c r="L57" s="32"/>
      <c r="M57" s="32"/>
      <c r="N57" s="32"/>
      <c r="O57" s="32"/>
      <c r="R57" s="32"/>
    </row>
    <row r="58" spans="1:20" x14ac:dyDescent="0.25">
      <c r="F58" s="42">
        <v>2019</v>
      </c>
      <c r="J58" t="s">
        <v>142</v>
      </c>
      <c r="M58" t="s">
        <v>160</v>
      </c>
    </row>
    <row r="59" spans="1:20" ht="75" x14ac:dyDescent="0.25">
      <c r="A59" s="116" t="s">
        <v>165</v>
      </c>
      <c r="B59" s="134" t="s">
        <v>124</v>
      </c>
      <c r="C59" s="135" t="s">
        <v>137</v>
      </c>
      <c r="D59" s="139" t="s">
        <v>164</v>
      </c>
      <c r="E59" s="130" t="s">
        <v>163</v>
      </c>
      <c r="F59" s="116" t="s">
        <v>150</v>
      </c>
      <c r="G59" s="116" t="s">
        <v>156</v>
      </c>
      <c r="H59" s="116" t="s">
        <v>152</v>
      </c>
      <c r="I59" s="116" t="s">
        <v>153</v>
      </c>
      <c r="J59" s="116" t="s">
        <v>151</v>
      </c>
      <c r="K59" s="116" t="s">
        <v>156</v>
      </c>
      <c r="L59" s="116" t="s">
        <v>155</v>
      </c>
      <c r="M59" s="116" t="s">
        <v>154</v>
      </c>
      <c r="N59" s="116" t="s">
        <v>157</v>
      </c>
      <c r="O59" s="116" t="s">
        <v>159</v>
      </c>
      <c r="P59" s="116" t="s">
        <v>158</v>
      </c>
      <c r="Q59" s="116" t="s">
        <v>143</v>
      </c>
      <c r="R59" s="116" t="s">
        <v>145</v>
      </c>
      <c r="S59" s="116" t="s">
        <v>146</v>
      </c>
      <c r="T59" s="116" t="s">
        <v>148</v>
      </c>
    </row>
    <row r="60" spans="1:20" x14ac:dyDescent="0.25">
      <c r="A60" s="132">
        <v>0.30980000000000002</v>
      </c>
      <c r="B60">
        <v>-1.29</v>
      </c>
      <c r="C60" s="132">
        <v>-2.07E-2</v>
      </c>
      <c r="F60" s="117" t="s">
        <v>12</v>
      </c>
      <c r="G60" s="117" t="s">
        <v>141</v>
      </c>
      <c r="H60" s="117" t="s">
        <v>147</v>
      </c>
      <c r="I60" s="42"/>
      <c r="J60" s="117" t="s">
        <v>12</v>
      </c>
      <c r="K60" s="117" t="s">
        <v>141</v>
      </c>
      <c r="L60" s="117" t="s">
        <v>147</v>
      </c>
      <c r="M60" s="117" t="s">
        <v>144</v>
      </c>
      <c r="N60" s="117" t="s">
        <v>147</v>
      </c>
      <c r="O60" s="117" t="s">
        <v>147</v>
      </c>
      <c r="P60" s="117" t="s">
        <v>147</v>
      </c>
      <c r="Q60" s="117" t="s">
        <v>141</v>
      </c>
      <c r="R60" s="117" t="s">
        <v>141</v>
      </c>
      <c r="S60" s="117" t="s">
        <v>12</v>
      </c>
      <c r="T60" s="117" t="s">
        <v>149</v>
      </c>
    </row>
    <row r="61" spans="1:20" x14ac:dyDescent="0.25">
      <c r="F61" s="118">
        <f>'Potencial energético'!D37</f>
        <v>295765150463.84424</v>
      </c>
      <c r="G61" s="42">
        <v>89</v>
      </c>
      <c r="H61" s="118">
        <f>F61*G61</f>
        <v>26323098391282.137</v>
      </c>
      <c r="I61" s="110">
        <v>2030</v>
      </c>
      <c r="J61" s="118">
        <f>J54*(100%+$D$34)</f>
        <v>235869211854.86328</v>
      </c>
      <c r="K61" s="42">
        <v>89</v>
      </c>
      <c r="L61" s="118">
        <f>J61*K61</f>
        <v>20992359855082.832</v>
      </c>
      <c r="M61" s="127">
        <v>0.05</v>
      </c>
      <c r="N61" s="118">
        <f>H61*M61</f>
        <v>1316154919564.1069</v>
      </c>
      <c r="O61" s="118">
        <f>L61-H61</f>
        <v>-5330738536199.3047</v>
      </c>
      <c r="P61" s="118">
        <f>O61+N61</f>
        <v>-4014583616635.1978</v>
      </c>
      <c r="Q61" s="128">
        <v>20</v>
      </c>
      <c r="R61" s="42">
        <f>K61-Q61</f>
        <v>69</v>
      </c>
      <c r="S61" s="118">
        <f>P61/R61</f>
        <v>-58182371255.582573</v>
      </c>
      <c r="T61" s="119">
        <f>S61/J61</f>
        <v>-0.24667217394775443</v>
      </c>
    </row>
    <row r="62" spans="1:20" x14ac:dyDescent="0.25">
      <c r="F62" s="118">
        <f>F61</f>
        <v>295765150463.84424</v>
      </c>
      <c r="G62" s="42">
        <v>89</v>
      </c>
      <c r="H62" s="42">
        <f t="shared" ref="H62:H63" si="14">F62*G62</f>
        <v>26323098391282.137</v>
      </c>
      <c r="I62" s="110">
        <v>2040</v>
      </c>
      <c r="J62" s="118">
        <f t="shared" ref="J62:J63" si="15">J55*(100%+$D$34)</f>
        <v>264794904937.44681</v>
      </c>
      <c r="K62" s="42">
        <v>89</v>
      </c>
      <c r="L62" s="118">
        <f>J62*K62</f>
        <v>23566746539432.766</v>
      </c>
      <c r="M62" s="127">
        <v>0.2</v>
      </c>
      <c r="N62" s="118">
        <f>H62*M62</f>
        <v>5264619678256.4277</v>
      </c>
      <c r="O62" s="118">
        <f t="shared" ref="O62:O63" si="16">L62-H62</f>
        <v>-2756351851849.3711</v>
      </c>
      <c r="P62" s="118">
        <f>O62+N62</f>
        <v>2508267826407.0566</v>
      </c>
      <c r="Q62" s="128">
        <v>20</v>
      </c>
      <c r="R62" s="42">
        <f>K62-Q62</f>
        <v>69</v>
      </c>
      <c r="S62" s="118">
        <f>P62/R62</f>
        <v>36351707629.087776</v>
      </c>
      <c r="T62" s="119">
        <f>S62/J62</f>
        <v>0.13728250412399451</v>
      </c>
    </row>
    <row r="63" spans="1:20" x14ac:dyDescent="0.25">
      <c r="F63" s="118">
        <f>F62</f>
        <v>295765150463.84424</v>
      </c>
      <c r="G63" s="42">
        <v>89</v>
      </c>
      <c r="H63" s="42">
        <f t="shared" si="14"/>
        <v>26323098391282.137</v>
      </c>
      <c r="I63" s="110">
        <v>2050</v>
      </c>
      <c r="J63" s="118">
        <f t="shared" si="15"/>
        <v>297267884729.16882</v>
      </c>
      <c r="K63" s="42">
        <v>89</v>
      </c>
      <c r="L63" s="118">
        <f>J63*K63</f>
        <v>26456841740896.023</v>
      </c>
      <c r="M63" s="127">
        <v>0.3</v>
      </c>
      <c r="N63" s="118">
        <f>H63*M63</f>
        <v>7896929517384.6406</v>
      </c>
      <c r="O63" s="118">
        <f t="shared" si="16"/>
        <v>133743349613.88672</v>
      </c>
      <c r="P63" s="118">
        <f>O63+N63</f>
        <v>8030672866998.5273</v>
      </c>
      <c r="Q63" s="128">
        <v>20</v>
      </c>
      <c r="R63" s="42">
        <f>K63-Q63</f>
        <v>69</v>
      </c>
      <c r="S63" s="118">
        <f t="shared" ref="S63" si="17">P63/R63</f>
        <v>116386563289.83372</v>
      </c>
      <c r="T63" s="119">
        <f>S63/J63</f>
        <v>0.39152081092066088</v>
      </c>
    </row>
    <row r="65" spans="1:20" x14ac:dyDescent="0.25">
      <c r="F65" s="42">
        <v>2019</v>
      </c>
      <c r="J65" t="s">
        <v>142</v>
      </c>
      <c r="M65" t="s">
        <v>160</v>
      </c>
    </row>
    <row r="66" spans="1:20" ht="75" x14ac:dyDescent="0.25">
      <c r="A66" s="116" t="s">
        <v>165</v>
      </c>
      <c r="B66" s="134" t="s">
        <v>124</v>
      </c>
      <c r="C66" s="135" t="s">
        <v>137</v>
      </c>
      <c r="D66" s="139" t="s">
        <v>164</v>
      </c>
      <c r="E66" s="130" t="s">
        <v>163</v>
      </c>
      <c r="F66" s="116" t="s">
        <v>150</v>
      </c>
      <c r="G66" s="116" t="s">
        <v>156</v>
      </c>
      <c r="H66" s="116" t="s">
        <v>152</v>
      </c>
      <c r="I66" s="116" t="s">
        <v>153</v>
      </c>
      <c r="J66" s="116" t="s">
        <v>151</v>
      </c>
      <c r="K66" s="116" t="s">
        <v>156</v>
      </c>
      <c r="L66" s="116" t="s">
        <v>155</v>
      </c>
      <c r="M66" s="116" t="s">
        <v>154</v>
      </c>
      <c r="N66" s="116" t="s">
        <v>157</v>
      </c>
      <c r="O66" s="116" t="s">
        <v>159</v>
      </c>
      <c r="P66" s="116" t="s">
        <v>158</v>
      </c>
      <c r="Q66" s="116" t="s">
        <v>143</v>
      </c>
      <c r="R66" s="116" t="s">
        <v>145</v>
      </c>
      <c r="S66" s="116" t="s">
        <v>146</v>
      </c>
      <c r="T66" s="116" t="s">
        <v>148</v>
      </c>
    </row>
    <row r="67" spans="1:20" x14ac:dyDescent="0.25">
      <c r="A67" s="132">
        <v>0.13730000000000001</v>
      </c>
      <c r="B67">
        <v>-1.29</v>
      </c>
      <c r="C67" s="132">
        <v>-2.07E-2</v>
      </c>
      <c r="F67" s="117" t="s">
        <v>12</v>
      </c>
      <c r="G67" s="117" t="s">
        <v>141</v>
      </c>
      <c r="H67" s="117" t="s">
        <v>147</v>
      </c>
      <c r="I67" s="42"/>
      <c r="J67" s="117" t="s">
        <v>12</v>
      </c>
      <c r="K67" s="117" t="s">
        <v>141</v>
      </c>
      <c r="L67" s="117" t="s">
        <v>147</v>
      </c>
      <c r="M67" s="117" t="s">
        <v>144</v>
      </c>
      <c r="N67" s="117" t="s">
        <v>147</v>
      </c>
      <c r="O67" s="117" t="s">
        <v>147</v>
      </c>
      <c r="P67" s="117" t="s">
        <v>147</v>
      </c>
      <c r="Q67" s="117" t="s">
        <v>141</v>
      </c>
      <c r="R67" s="117" t="s">
        <v>141</v>
      </c>
      <c r="S67" s="117" t="s">
        <v>12</v>
      </c>
      <c r="T67" s="117" t="s">
        <v>149</v>
      </c>
    </row>
    <row r="68" spans="1:20" x14ac:dyDescent="0.25">
      <c r="F68" s="118">
        <f>'Potencial energético'!D44</f>
        <v>320711001789.5235</v>
      </c>
      <c r="G68" s="42">
        <v>89</v>
      </c>
      <c r="H68" s="118">
        <f>F68*G68</f>
        <v>28543279159267.59</v>
      </c>
      <c r="I68" s="110">
        <v>2030</v>
      </c>
      <c r="J68" s="118">
        <f>J61*(100%+$E$34)</f>
        <v>227722804651.62421</v>
      </c>
      <c r="K68" s="42">
        <v>89</v>
      </c>
      <c r="L68" s="118">
        <f>J68*K68</f>
        <v>20267329613994.555</v>
      </c>
      <c r="M68" s="127">
        <v>0.05</v>
      </c>
      <c r="N68" s="118">
        <f>H68*M68</f>
        <v>1427163957963.3796</v>
      </c>
      <c r="O68" s="118">
        <f>L68-H68</f>
        <v>-8275949545273.0352</v>
      </c>
      <c r="P68" s="118">
        <f>O68+N68</f>
        <v>-6848785587309.6553</v>
      </c>
      <c r="Q68" s="128">
        <v>20</v>
      </c>
      <c r="R68" s="42">
        <f>K68-Q68</f>
        <v>69</v>
      </c>
      <c r="S68" s="118">
        <f>P68/R68</f>
        <v>-99257762134.922546</v>
      </c>
      <c r="T68" s="119">
        <f>S68/J68</f>
        <v>-0.43587098045261408</v>
      </c>
    </row>
    <row r="69" spans="1:20" x14ac:dyDescent="0.25">
      <c r="F69" s="118">
        <f>F68</f>
        <v>320711001789.5235</v>
      </c>
      <c r="G69" s="42">
        <v>89</v>
      </c>
      <c r="H69" s="42">
        <f t="shared" ref="H69:H70" si="18">F69*G69</f>
        <v>28543279159267.59</v>
      </c>
      <c r="I69" s="110">
        <v>2040</v>
      </c>
      <c r="J69" s="118">
        <f t="shared" ref="J69:J70" si="19">J62*(100%+$E$34)</f>
        <v>255649467497.77469</v>
      </c>
      <c r="K69" s="42">
        <v>89</v>
      </c>
      <c r="L69" s="118">
        <f>J69*K69</f>
        <v>22752802607301.949</v>
      </c>
      <c r="M69" s="127">
        <v>0.2</v>
      </c>
      <c r="N69" s="118">
        <f>H69*M69</f>
        <v>5708655831853.5186</v>
      </c>
      <c r="O69" s="118">
        <f t="shared" ref="O69:O70" si="20">L69-H69</f>
        <v>-5790476551965.6406</v>
      </c>
      <c r="P69" s="118">
        <f>O69+N69</f>
        <v>-81820720112.12207</v>
      </c>
      <c r="Q69" s="128">
        <v>20</v>
      </c>
      <c r="R69" s="42">
        <f>K69-Q69</f>
        <v>69</v>
      </c>
      <c r="S69" s="118">
        <f>P69/R69</f>
        <v>-1185807537.8568416</v>
      </c>
      <c r="T69" s="119">
        <f>S69/J69</f>
        <v>-4.6384119218521877E-3</v>
      </c>
    </row>
    <row r="70" spans="1:20" x14ac:dyDescent="0.25">
      <c r="F70" s="118">
        <f>F69</f>
        <v>320711001789.5235</v>
      </c>
      <c r="G70" s="42">
        <v>89</v>
      </c>
      <c r="H70" s="42">
        <f t="shared" si="18"/>
        <v>28543279159267.59</v>
      </c>
      <c r="I70" s="110">
        <v>2050</v>
      </c>
      <c r="J70" s="118">
        <f t="shared" si="19"/>
        <v>287000901520.95148</v>
      </c>
      <c r="K70" s="42">
        <v>89</v>
      </c>
      <c r="L70" s="118">
        <f>J70*K70</f>
        <v>25543080235364.68</v>
      </c>
      <c r="M70" s="127">
        <v>0.3</v>
      </c>
      <c r="N70" s="118">
        <f>H70*M70</f>
        <v>8562983747780.2764</v>
      </c>
      <c r="O70" s="118">
        <f t="shared" si="20"/>
        <v>-3000198923902.9102</v>
      </c>
      <c r="P70" s="118">
        <f>O70+N70</f>
        <v>5562784823877.3662</v>
      </c>
      <c r="Q70" s="128">
        <v>20</v>
      </c>
      <c r="R70" s="42">
        <f>K70-Q70</f>
        <v>69</v>
      </c>
      <c r="S70" s="118">
        <f t="shared" ref="S70" si="21">P70/R70</f>
        <v>80620069911.266174</v>
      </c>
      <c r="T70" s="119">
        <f>S70/J70</f>
        <v>0.28090528456190511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5AFF18D6C61848BCD084C8D331E236" ma:contentTypeVersion="13" ma:contentTypeDescription="Crie um novo documento." ma:contentTypeScope="" ma:versionID="c793b48f07a192aee3610c834bc2ff3b">
  <xsd:schema xmlns:xsd="http://www.w3.org/2001/XMLSchema" xmlns:xs="http://www.w3.org/2001/XMLSchema" xmlns:p="http://schemas.microsoft.com/office/2006/metadata/properties" xmlns:ns3="a429bc68-6480-487b-9bb1-18635c13ca62" xmlns:ns4="65dc19eb-9ded-4ede-812b-274ed74d1467" targetNamespace="http://schemas.microsoft.com/office/2006/metadata/properties" ma:root="true" ma:fieldsID="77553ce9783ac8aeb2731984a9637d17" ns3:_="" ns4:_="">
    <xsd:import namespace="a429bc68-6480-487b-9bb1-18635c13ca62"/>
    <xsd:import namespace="65dc19eb-9ded-4ede-812b-274ed74d1467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29bc68-6480-487b-9bb1-18635c13ca6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dc19eb-9ded-4ede-812b-274ed74d1467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29bc68-6480-487b-9bb1-18635c13ca62" xsi:nil="true"/>
  </documentManagement>
</p:properties>
</file>

<file path=customXml/itemProps1.xml><?xml version="1.0" encoding="utf-8"?>
<ds:datastoreItem xmlns:ds="http://schemas.openxmlformats.org/officeDocument/2006/customXml" ds:itemID="{99A333C1-7FBA-4963-9C6C-56A1B99D69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249FE0-A212-4C42-B05A-EEBD509BE40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B3A8A1A-354F-41EE-8271-1D10EF476E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29bc68-6480-487b-9bb1-18635c13ca62"/>
    <ds:schemaRef ds:uri="65dc19eb-9ded-4ede-812b-274ed74d14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125C587-0D17-4E1E-9FA0-4DC4B3D7E608}">
  <ds:schemaRefs>
    <ds:schemaRef ds:uri="http://purl.org/dc/terms/"/>
    <ds:schemaRef ds:uri="http://purl.org/dc/dcmitype/"/>
    <ds:schemaRef ds:uri="a429bc68-6480-487b-9bb1-18635c13ca62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65dc19eb-9ded-4ede-812b-274ed74d146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Fig_historico_Kaya</vt:lpstr>
      <vt:lpstr>Fig_futuro_Kaya</vt:lpstr>
      <vt:lpstr>Potencial energético</vt:lpstr>
      <vt:lpstr>PPI</vt:lpstr>
      <vt:lpstr>Preços Produtor Importador</vt:lpstr>
      <vt:lpstr>Preço do QAV</vt:lpstr>
      <vt:lpstr>Preço do SAF</vt:lpstr>
      <vt:lpstr>2030</vt:lpstr>
      <vt:lpstr>2040</vt:lpstr>
      <vt:lpstr>Fig_futuro_Kaya!_ftn1</vt:lpstr>
      <vt:lpstr>Fig_futuro_Kaya!_ftnref1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Anderson Luiz Silva Pelluso</dc:creator>
  <cp:keywords/>
  <dc:description/>
  <cp:lastModifiedBy>Anderson Pelluso</cp:lastModifiedBy>
  <cp:revision/>
  <cp:lastPrinted>2024-11-27T20:28:11Z</cp:lastPrinted>
  <dcterms:created xsi:type="dcterms:W3CDTF">2023-12-21T16:49:30Z</dcterms:created>
  <dcterms:modified xsi:type="dcterms:W3CDTF">2025-01-29T17:22:29Z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0x010100AE5AFF18D6C61848BCD084C8D331E236</vt:lpwstr>
  </property>
  <property fmtid="{D5CDD505-2E9C-101B-9397-08002B2CF9AE}" pid="3" name="MediaServiceImageTags">
    <vt:lpwstr/>
  </property>
</Properties>
</file>